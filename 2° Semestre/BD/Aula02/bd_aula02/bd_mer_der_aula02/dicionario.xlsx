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 Barichello\Desktop\SENAI\2° Semestre\BD\Aula02\bd_aula02\bd_mer_der_aula02\"/>
    </mc:Choice>
  </mc:AlternateContent>
  <xr:revisionPtr revIDLastSave="0" documentId="13_ncr:1_{1E1CADC9-22EC-4EA9-8340-D7905DEE3CD7}" xr6:coauthVersionLast="47" xr6:coauthVersionMax="47" xr10:uidLastSave="{00000000-0000-0000-0000-000000000000}"/>
  <bookViews>
    <workbookView xWindow="-108" yWindow="-108" windowWidth="23256" windowHeight="12456" xr2:uid="{4379698F-7957-4FEE-AAAD-9A658EF27713}"/>
  </bookViews>
  <sheets>
    <sheet name="Consultas" sheetId="1" r:id="rId1"/>
    <sheet name="Clientes" sheetId="2" r:id="rId2"/>
    <sheet name="Veterinário" sheetId="3" r:id="rId3"/>
    <sheet name="dicionario_de_dad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3" i="2"/>
  <c r="K14" i="2"/>
  <c r="K2" i="2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<sst xmlns="http://schemas.openxmlformats.org/spreadsheetml/2006/main" count="189" uniqueCount="99">
  <si>
    <t>id</t>
  </si>
  <si>
    <t>tipo</t>
  </si>
  <si>
    <t>descrição</t>
  </si>
  <si>
    <t>valor</t>
  </si>
  <si>
    <t>Geral</t>
  </si>
  <si>
    <t>Especialistas</t>
  </si>
  <si>
    <t>Atendimentos fora do horário comercial</t>
  </si>
  <si>
    <t>Consulta Domiciliar</t>
  </si>
  <si>
    <t>Emergência/Plantão</t>
  </si>
  <si>
    <t>Quando o veterinário vai até a sua residência</t>
  </si>
  <si>
    <t>Animais Silvestres</t>
  </si>
  <si>
    <t>Retorno Veterinário</t>
  </si>
  <si>
    <t>Reavaliação para checar a melhora do animal em até 15 dias</t>
  </si>
  <si>
    <t>id_consulta</t>
  </si>
  <si>
    <t>nome</t>
  </si>
  <si>
    <t>porte</t>
  </si>
  <si>
    <t>Rogério Alface</t>
  </si>
  <si>
    <t>Médio</t>
  </si>
  <si>
    <t>Doméstico</t>
  </si>
  <si>
    <t>animal</t>
  </si>
  <si>
    <t>Gato</t>
  </si>
  <si>
    <t>data</t>
  </si>
  <si>
    <t>Alberto Bolo</t>
  </si>
  <si>
    <t>Bulldog Inglês</t>
  </si>
  <si>
    <t>Pequeno</t>
  </si>
  <si>
    <t>Roberto Farofa</t>
  </si>
  <si>
    <t>Silvestre</t>
  </si>
  <si>
    <t>Papagaio</t>
  </si>
  <si>
    <t>Tanos Pirigui</t>
  </si>
  <si>
    <t>Grande</t>
  </si>
  <si>
    <t>Onça Pintada</t>
  </si>
  <si>
    <t>Pulubi Jiguili</t>
  </si>
  <si>
    <t>Pastor Alemão</t>
  </si>
  <si>
    <t>Donudi Plabo</t>
  </si>
  <si>
    <t>Gato Siâmes</t>
  </si>
  <si>
    <t>Trietel Gunese</t>
  </si>
  <si>
    <t>Grilo</t>
  </si>
  <si>
    <t>Vitor Parafael</t>
  </si>
  <si>
    <t>Tardigrado</t>
  </si>
  <si>
    <t>Renaldo Plofado</t>
  </si>
  <si>
    <t>Shih Tzu</t>
  </si>
  <si>
    <t>Firugui Vlagudir</t>
  </si>
  <si>
    <t>Elefante-indiano</t>
  </si>
  <si>
    <t>formação</t>
  </si>
  <si>
    <t>Especialista</t>
  </si>
  <si>
    <t>Aurora Valença</t>
  </si>
  <si>
    <t>Gael Montenegro</t>
  </si>
  <si>
    <t>Helena Nogueira</t>
  </si>
  <si>
    <t>Lorenzo Moretti</t>
  </si>
  <si>
    <t>Sofia Bellini</t>
  </si>
  <si>
    <t>Ravi Castelar</t>
  </si>
  <si>
    <t>Clara Delacroix</t>
  </si>
  <si>
    <t>Matteo Valentini</t>
  </si>
  <si>
    <t>Elisa Beaumont</t>
  </si>
  <si>
    <t>Gabriel Santoro</t>
  </si>
  <si>
    <t>Maya Aragão</t>
  </si>
  <si>
    <t>Lucas Marcondes</t>
  </si>
  <si>
    <t>id_veterinário</t>
  </si>
  <si>
    <t>custo_consulta</t>
  </si>
  <si>
    <t>custo_veterinário</t>
  </si>
  <si>
    <t>total</t>
  </si>
  <si>
    <t>Entidade</t>
  </si>
  <si>
    <t>Atributo</t>
  </si>
  <si>
    <t>Tipo</t>
  </si>
  <si>
    <t>Tamanho</t>
  </si>
  <si>
    <t>Descrição</t>
  </si>
  <si>
    <t>grande porte</t>
  </si>
  <si>
    <t>Consulta</t>
  </si>
  <si>
    <t>id_veterinario</t>
  </si>
  <si>
    <t>custo_veterinario</t>
  </si>
  <si>
    <t>Cliente</t>
  </si>
  <si>
    <t>custo</t>
  </si>
  <si>
    <t>Veterinario</t>
  </si>
  <si>
    <t>int</t>
  </si>
  <si>
    <t>varchar</t>
  </si>
  <si>
    <t>decimal</t>
  </si>
  <si>
    <t>date</t>
  </si>
  <si>
    <t>Chave primária</t>
  </si>
  <si>
    <t>Chave estrangeira, referência: Consulta (id)</t>
  </si>
  <si>
    <t>Chave estrangeira, referência: Veterinario (id)</t>
  </si>
  <si>
    <t>O tipo de consulta</t>
  </si>
  <si>
    <t>Descrição do tipo de consulta</t>
  </si>
  <si>
    <t>Preço da consulta correspondente</t>
  </si>
  <si>
    <t>Preço alterado caso animal seja de porte grande</t>
  </si>
  <si>
    <t>Nome do cliente</t>
  </si>
  <si>
    <t>Nome do veterinario</t>
  </si>
  <si>
    <t>Porte do animal do cliente</t>
  </si>
  <si>
    <t>Se o animal é doméstico ou silvestre</t>
  </si>
  <si>
    <t>Qual animal é</t>
  </si>
  <si>
    <t>Data de quando foi registrado o atendimento</t>
  </si>
  <si>
    <t>Quanto foi pago pela consulta</t>
  </si>
  <si>
    <t>Quanto foi pago pelo serviço do veterinario</t>
  </si>
  <si>
    <t>Valor total somando o dois custos</t>
  </si>
  <si>
    <t>Em que o veterinario é formado</t>
  </si>
  <si>
    <t>Custo pelo serviço</t>
  </si>
  <si>
    <t>grande_porte</t>
  </si>
  <si>
    <t>Dermatologia; Cardiologia; Oncologia; Ortopedia; Oftalmologia; Endocrinologia; etc.</t>
  </si>
  <si>
    <t>Check-ups; aplicação de vacinas; receitas comuns e orientações gerais em horário comercial</t>
  </si>
  <si>
    <t>Atendimento especializado para aves; roedores; répteis; coelhos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</si>
</sst>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5258C-FFBE-4EA4-B5DC-080EAE5DCD62}">
  <dimension ref="A1:E7"/>
  <sheetViews>
    <sheetView tabSelected="1" workbookViewId="0">
      <selection activeCell="C12" sqref="C12"/>
    </sheetView>
  </sheetViews>
  <sheetFormatPr defaultRowHeight="14.4" x14ac:dyDescent="0.3"/>
  <cols>
    <col min="2" max="2" width="17.5546875" bestFit="1" customWidth="1"/>
    <col min="3" max="3" width="77.109375" bestFit="1" customWidth="1"/>
    <col min="5" max="5" width="16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95</v>
      </c>
    </row>
    <row r="2" spans="1:5" x14ac:dyDescent="0.3">
      <c r="A2">
        <v>1</v>
      </c>
      <c r="B2" t="s">
        <v>4</v>
      </c>
      <c r="C2" t="s">
        <v>97</v>
      </c>
      <c r="D2">
        <v>120</v>
      </c>
      <c r="E2">
        <f>D2*(1+20%)</f>
        <v>144</v>
      </c>
    </row>
    <row r="3" spans="1:5" x14ac:dyDescent="0.3">
      <c r="A3">
        <v>2</v>
      </c>
      <c r="B3" t="s">
        <v>5</v>
      </c>
      <c r="C3" t="s">
        <v>96</v>
      </c>
      <c r="D3">
        <v>300</v>
      </c>
      <c r="E3">
        <f t="shared" ref="E3:E7" si="0">D3*(1+20%)</f>
        <v>360</v>
      </c>
    </row>
    <row r="4" spans="1:5" x14ac:dyDescent="0.3">
      <c r="A4">
        <v>3</v>
      </c>
      <c r="B4" t="s">
        <v>8</v>
      </c>
      <c r="C4" t="s">
        <v>6</v>
      </c>
      <c r="D4">
        <v>500</v>
      </c>
      <c r="E4">
        <f t="shared" si="0"/>
        <v>600</v>
      </c>
    </row>
    <row r="5" spans="1:5" x14ac:dyDescent="0.3">
      <c r="A5">
        <v>4</v>
      </c>
      <c r="B5" t="s">
        <v>7</v>
      </c>
      <c r="C5" t="s">
        <v>9</v>
      </c>
      <c r="D5">
        <v>200</v>
      </c>
      <c r="E5">
        <f t="shared" si="0"/>
        <v>240</v>
      </c>
    </row>
    <row r="6" spans="1:5" x14ac:dyDescent="0.3">
      <c r="A6">
        <v>5</v>
      </c>
      <c r="B6" t="s">
        <v>10</v>
      </c>
      <c r="C6" t="s">
        <v>98</v>
      </c>
      <c r="D6">
        <v>350</v>
      </c>
      <c r="E6">
        <f t="shared" si="0"/>
        <v>420</v>
      </c>
    </row>
    <row r="7" spans="1:5" x14ac:dyDescent="0.3">
      <c r="A7">
        <v>6</v>
      </c>
      <c r="B7" t="s">
        <v>11</v>
      </c>
      <c r="C7" t="s">
        <v>12</v>
      </c>
      <c r="D7">
        <v>50</v>
      </c>
      <c r="E7">
        <f t="shared" si="0"/>
        <v>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480C-0659-475A-A5E1-E23BD2799C29}">
  <dimension ref="A1:K14"/>
  <sheetViews>
    <sheetView topLeftCell="D1" workbookViewId="0">
      <selection activeCell="M12" sqref="M12"/>
    </sheetView>
  </sheetViews>
  <sheetFormatPr defaultRowHeight="14.4" x14ac:dyDescent="0.3"/>
  <cols>
    <col min="2" max="2" width="10.109375" bestFit="1" customWidth="1"/>
    <col min="3" max="4" width="14.109375" bestFit="1" customWidth="1"/>
    <col min="5" max="5" width="9.6640625" bestFit="1" customWidth="1"/>
    <col min="6" max="6" width="14.21875" bestFit="1" customWidth="1"/>
    <col min="7" max="8" width="10.33203125" bestFit="1" customWidth="1"/>
    <col min="9" max="9" width="13.21875" bestFit="1" customWidth="1"/>
    <col min="10" max="10" width="14.88671875" bestFit="1" customWidth="1"/>
  </cols>
  <sheetData>
    <row r="1" spans="1:11" x14ac:dyDescent="0.3">
      <c r="A1" t="s">
        <v>0</v>
      </c>
      <c r="B1" t="s">
        <v>13</v>
      </c>
      <c r="C1" t="s">
        <v>57</v>
      </c>
      <c r="D1" t="s">
        <v>14</v>
      </c>
      <c r="E1" t="s">
        <v>15</v>
      </c>
      <c r="F1" t="s">
        <v>1</v>
      </c>
      <c r="G1" t="s">
        <v>19</v>
      </c>
      <c r="H1" t="s">
        <v>21</v>
      </c>
      <c r="I1" t="s">
        <v>58</v>
      </c>
      <c r="J1" t="s">
        <v>59</v>
      </c>
      <c r="K1" t="s">
        <v>60</v>
      </c>
    </row>
    <row r="2" spans="1:11" x14ac:dyDescent="0.3">
      <c r="A2">
        <v>1</v>
      </c>
      <c r="B2">
        <v>1</v>
      </c>
      <c r="C2">
        <v>1</v>
      </c>
      <c r="D2" t="s">
        <v>16</v>
      </c>
      <c r="E2" t="s">
        <v>17</v>
      </c>
      <c r="F2" t="s">
        <v>18</v>
      </c>
      <c r="G2" t="s">
        <v>23</v>
      </c>
      <c r="H2" s="1">
        <v>45940</v>
      </c>
      <c r="I2">
        <v>120</v>
      </c>
      <c r="J2">
        <v>120</v>
      </c>
      <c r="K2">
        <f>I2+J2</f>
        <v>240</v>
      </c>
    </row>
    <row r="3" spans="1:11" x14ac:dyDescent="0.3">
      <c r="A3">
        <v>2</v>
      </c>
      <c r="B3">
        <v>1</v>
      </c>
      <c r="C3">
        <v>2</v>
      </c>
      <c r="D3" t="s">
        <v>22</v>
      </c>
      <c r="E3" t="s">
        <v>24</v>
      </c>
      <c r="F3" t="s">
        <v>18</v>
      </c>
      <c r="G3" t="s">
        <v>20</v>
      </c>
      <c r="H3" s="1">
        <v>45940</v>
      </c>
      <c r="I3">
        <v>120</v>
      </c>
      <c r="J3">
        <v>115</v>
      </c>
      <c r="K3">
        <f t="shared" ref="K3:K11" si="0">I3+J3</f>
        <v>235</v>
      </c>
    </row>
    <row r="4" spans="1:11" x14ac:dyDescent="0.3">
      <c r="A4">
        <v>3</v>
      </c>
      <c r="B4">
        <v>5</v>
      </c>
      <c r="C4">
        <v>11</v>
      </c>
      <c r="D4" t="s">
        <v>25</v>
      </c>
      <c r="E4" t="s">
        <v>24</v>
      </c>
      <c r="F4" t="s">
        <v>26</v>
      </c>
      <c r="G4" t="s">
        <v>27</v>
      </c>
      <c r="H4" s="1">
        <v>45941</v>
      </c>
      <c r="I4">
        <v>350</v>
      </c>
      <c r="J4">
        <v>350</v>
      </c>
      <c r="K4">
        <f t="shared" si="0"/>
        <v>700</v>
      </c>
    </row>
    <row r="5" spans="1:11" x14ac:dyDescent="0.3">
      <c r="A5">
        <v>4</v>
      </c>
      <c r="B5">
        <v>5</v>
      </c>
      <c r="C5">
        <v>12</v>
      </c>
      <c r="D5" t="s">
        <v>28</v>
      </c>
      <c r="E5" t="s">
        <v>29</v>
      </c>
      <c r="F5" t="s">
        <v>26</v>
      </c>
      <c r="G5" t="s">
        <v>30</v>
      </c>
      <c r="H5" s="1">
        <v>45941</v>
      </c>
      <c r="I5">
        <v>650</v>
      </c>
      <c r="J5">
        <v>325</v>
      </c>
      <c r="K5">
        <f t="shared" si="0"/>
        <v>975</v>
      </c>
    </row>
    <row r="6" spans="1:11" x14ac:dyDescent="0.3">
      <c r="A6">
        <v>5</v>
      </c>
      <c r="B6">
        <v>2</v>
      </c>
      <c r="C6">
        <v>3</v>
      </c>
      <c r="D6" t="s">
        <v>31</v>
      </c>
      <c r="E6" t="s">
        <v>29</v>
      </c>
      <c r="F6" t="s">
        <v>18</v>
      </c>
      <c r="G6" t="s">
        <v>32</v>
      </c>
      <c r="H6" s="1">
        <v>45941</v>
      </c>
      <c r="I6">
        <v>360</v>
      </c>
      <c r="J6">
        <v>300</v>
      </c>
      <c r="K6">
        <f t="shared" si="0"/>
        <v>660</v>
      </c>
    </row>
    <row r="7" spans="1:11" x14ac:dyDescent="0.3">
      <c r="A7">
        <v>6</v>
      </c>
      <c r="B7">
        <v>3</v>
      </c>
      <c r="C7">
        <v>7</v>
      </c>
      <c r="D7" t="s">
        <v>33</v>
      </c>
      <c r="E7" t="s">
        <v>17</v>
      </c>
      <c r="F7" t="s">
        <v>18</v>
      </c>
      <c r="G7" t="s">
        <v>34</v>
      </c>
      <c r="H7" s="1">
        <v>45941</v>
      </c>
      <c r="I7">
        <v>500</v>
      </c>
      <c r="J7">
        <v>480</v>
      </c>
      <c r="K7">
        <f t="shared" si="0"/>
        <v>980</v>
      </c>
    </row>
    <row r="8" spans="1:11" x14ac:dyDescent="0.3">
      <c r="A8">
        <v>7</v>
      </c>
      <c r="B8">
        <v>3</v>
      </c>
      <c r="C8">
        <v>8</v>
      </c>
      <c r="D8" t="s">
        <v>35</v>
      </c>
      <c r="E8" t="s">
        <v>24</v>
      </c>
      <c r="F8" t="s">
        <v>26</v>
      </c>
      <c r="G8" t="s">
        <v>36</v>
      </c>
      <c r="H8" s="1">
        <v>45942</v>
      </c>
      <c r="I8">
        <v>550</v>
      </c>
      <c r="J8">
        <v>490</v>
      </c>
      <c r="K8">
        <f t="shared" si="0"/>
        <v>1040</v>
      </c>
    </row>
    <row r="9" spans="1:11" x14ac:dyDescent="0.3">
      <c r="A9">
        <v>8</v>
      </c>
      <c r="B9">
        <v>3</v>
      </c>
      <c r="C9">
        <v>6</v>
      </c>
      <c r="D9" t="s">
        <v>37</v>
      </c>
      <c r="E9" t="s">
        <v>24</v>
      </c>
      <c r="F9" t="s">
        <v>26</v>
      </c>
      <c r="G9" t="s">
        <v>38</v>
      </c>
      <c r="H9" s="1">
        <v>45942</v>
      </c>
      <c r="I9">
        <v>1200</v>
      </c>
      <c r="J9">
        <v>500</v>
      </c>
      <c r="K9">
        <f t="shared" si="0"/>
        <v>1700</v>
      </c>
    </row>
    <row r="10" spans="1:11" x14ac:dyDescent="0.3">
      <c r="A10">
        <v>9</v>
      </c>
      <c r="B10">
        <v>4</v>
      </c>
      <c r="C10">
        <v>10</v>
      </c>
      <c r="D10" t="s">
        <v>39</v>
      </c>
      <c r="E10" t="s">
        <v>24</v>
      </c>
      <c r="F10" t="s">
        <v>18</v>
      </c>
      <c r="G10" t="s">
        <v>40</v>
      </c>
      <c r="H10" s="1">
        <v>45942</v>
      </c>
      <c r="I10">
        <v>200</v>
      </c>
      <c r="J10">
        <v>200</v>
      </c>
      <c r="K10">
        <f t="shared" si="0"/>
        <v>400</v>
      </c>
    </row>
    <row r="11" spans="1:11" x14ac:dyDescent="0.3">
      <c r="A11">
        <v>10</v>
      </c>
      <c r="B11">
        <v>4</v>
      </c>
      <c r="C11">
        <v>9</v>
      </c>
      <c r="D11" t="s">
        <v>41</v>
      </c>
      <c r="E11" t="s">
        <v>29</v>
      </c>
      <c r="F11" t="s">
        <v>26</v>
      </c>
      <c r="G11" t="s">
        <v>42</v>
      </c>
      <c r="H11" s="1">
        <v>45942</v>
      </c>
      <c r="I11">
        <v>2000</v>
      </c>
      <c r="J11">
        <v>200</v>
      </c>
      <c r="K11">
        <f t="shared" si="0"/>
        <v>2200</v>
      </c>
    </row>
    <row r="13" spans="1:11" x14ac:dyDescent="0.3">
      <c r="A13">
        <v>1</v>
      </c>
      <c r="B13">
        <v>6</v>
      </c>
      <c r="C13">
        <v>1</v>
      </c>
      <c r="D13" t="s">
        <v>16</v>
      </c>
      <c r="E13" t="s">
        <v>17</v>
      </c>
      <c r="F13" t="s">
        <v>18</v>
      </c>
      <c r="G13" t="s">
        <v>23</v>
      </c>
      <c r="H13" s="1">
        <v>45946</v>
      </c>
      <c r="I13">
        <v>50</v>
      </c>
      <c r="J13">
        <v>120</v>
      </c>
      <c r="K13">
        <f>I13+J13</f>
        <v>170</v>
      </c>
    </row>
    <row r="14" spans="1:11" x14ac:dyDescent="0.3">
      <c r="A14">
        <v>2</v>
      </c>
      <c r="B14">
        <v>6</v>
      </c>
      <c r="C14">
        <v>2</v>
      </c>
      <c r="D14" t="s">
        <v>22</v>
      </c>
      <c r="E14" t="s">
        <v>24</v>
      </c>
      <c r="F14" t="s">
        <v>18</v>
      </c>
      <c r="G14" t="s">
        <v>20</v>
      </c>
      <c r="H14" s="1">
        <v>45947</v>
      </c>
      <c r="I14">
        <v>50</v>
      </c>
      <c r="J14">
        <v>115</v>
      </c>
      <c r="K14">
        <f>I14+J14</f>
        <v>165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95E2-C5A4-434F-8B1D-F39C7BD3DABC}">
  <dimension ref="A1:D13"/>
  <sheetViews>
    <sheetView workbookViewId="0">
      <selection activeCell="D1" sqref="D1"/>
    </sheetView>
  </sheetViews>
  <sheetFormatPr defaultRowHeight="14.4" x14ac:dyDescent="0.3"/>
  <cols>
    <col min="2" max="2" width="17.5546875" bestFit="1" customWidth="1"/>
    <col min="3" max="3" width="15.5546875" bestFit="1" customWidth="1"/>
    <col min="4" max="4" width="14" bestFit="1" customWidth="1"/>
  </cols>
  <sheetData>
    <row r="1" spans="1:4" x14ac:dyDescent="0.3">
      <c r="A1" t="s">
        <v>0</v>
      </c>
      <c r="B1" t="s">
        <v>43</v>
      </c>
      <c r="C1" t="s">
        <v>14</v>
      </c>
      <c r="D1" t="s">
        <v>71</v>
      </c>
    </row>
    <row r="2" spans="1:4" x14ac:dyDescent="0.3">
      <c r="A2">
        <v>1</v>
      </c>
      <c r="B2" t="s">
        <v>4</v>
      </c>
      <c r="C2" s="2" t="s">
        <v>45</v>
      </c>
      <c r="D2">
        <v>120</v>
      </c>
    </row>
    <row r="3" spans="1:4" x14ac:dyDescent="0.3">
      <c r="A3">
        <v>2</v>
      </c>
      <c r="B3" t="s">
        <v>4</v>
      </c>
      <c r="C3" s="2" t="s">
        <v>46</v>
      </c>
      <c r="D3">
        <v>115</v>
      </c>
    </row>
    <row r="4" spans="1:4" x14ac:dyDescent="0.3">
      <c r="A4">
        <v>3</v>
      </c>
      <c r="B4" t="s">
        <v>44</v>
      </c>
      <c r="C4" s="2" t="s">
        <v>47</v>
      </c>
      <c r="D4">
        <v>300</v>
      </c>
    </row>
    <row r="5" spans="1:4" x14ac:dyDescent="0.3">
      <c r="A5">
        <v>4</v>
      </c>
      <c r="B5" t="s">
        <v>44</v>
      </c>
      <c r="C5" s="2" t="s">
        <v>48</v>
      </c>
      <c r="D5">
        <v>320</v>
      </c>
    </row>
    <row r="6" spans="1:4" x14ac:dyDescent="0.3">
      <c r="A6">
        <v>5</v>
      </c>
      <c r="B6" t="s">
        <v>44</v>
      </c>
      <c r="C6" s="2" t="s">
        <v>49</v>
      </c>
      <c r="D6">
        <v>295</v>
      </c>
    </row>
    <row r="7" spans="1:4" x14ac:dyDescent="0.3">
      <c r="A7">
        <v>6</v>
      </c>
      <c r="B7" t="s">
        <v>8</v>
      </c>
      <c r="C7" s="2" t="s">
        <v>50</v>
      </c>
      <c r="D7">
        <v>500</v>
      </c>
    </row>
    <row r="8" spans="1:4" x14ac:dyDescent="0.3">
      <c r="A8">
        <v>7</v>
      </c>
      <c r="B8" t="s">
        <v>8</v>
      </c>
      <c r="C8" s="2" t="s">
        <v>51</v>
      </c>
      <c r="D8">
        <v>480</v>
      </c>
    </row>
    <row r="9" spans="1:4" x14ac:dyDescent="0.3">
      <c r="A9">
        <v>8</v>
      </c>
      <c r="B9" t="s">
        <v>8</v>
      </c>
      <c r="C9" s="2" t="s">
        <v>52</v>
      </c>
      <c r="D9">
        <v>490</v>
      </c>
    </row>
    <row r="10" spans="1:4" x14ac:dyDescent="0.3">
      <c r="A10">
        <v>9</v>
      </c>
      <c r="B10" t="s">
        <v>7</v>
      </c>
      <c r="C10" s="2" t="s">
        <v>53</v>
      </c>
      <c r="D10">
        <v>200</v>
      </c>
    </row>
    <row r="11" spans="1:4" x14ac:dyDescent="0.3">
      <c r="A11">
        <v>10</v>
      </c>
      <c r="B11" t="s">
        <v>7</v>
      </c>
      <c r="C11" s="2" t="s">
        <v>54</v>
      </c>
      <c r="D11">
        <v>200</v>
      </c>
    </row>
    <row r="12" spans="1:4" x14ac:dyDescent="0.3">
      <c r="A12">
        <v>11</v>
      </c>
      <c r="B12" t="s">
        <v>10</v>
      </c>
      <c r="C12" s="2" t="s">
        <v>55</v>
      </c>
      <c r="D12">
        <v>350</v>
      </c>
    </row>
    <row r="13" spans="1:4" x14ac:dyDescent="0.3">
      <c r="A13">
        <v>12</v>
      </c>
      <c r="B13" t="s">
        <v>10</v>
      </c>
      <c r="C13" s="2" t="s">
        <v>56</v>
      </c>
      <c r="D13">
        <v>325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4E1A-238A-4B38-BEB2-E46B7B07302E}">
  <dimension ref="A1:E21"/>
  <sheetViews>
    <sheetView workbookViewId="0">
      <selection activeCell="E1" sqref="E1:E1048576"/>
    </sheetView>
  </sheetViews>
  <sheetFormatPr defaultRowHeight="14.4" x14ac:dyDescent="0.3"/>
  <cols>
    <col min="1" max="1" width="9.88671875" bestFit="1" customWidth="1"/>
    <col min="2" max="2" width="14.88671875" bestFit="1" customWidth="1"/>
    <col min="5" max="5" width="40" style="5" bestFit="1" customWidth="1"/>
  </cols>
  <sheetData>
    <row r="1" spans="1:5" x14ac:dyDescent="0.3">
      <c r="A1" s="3" t="s">
        <v>61</v>
      </c>
      <c r="B1" s="3" t="s">
        <v>62</v>
      </c>
      <c r="C1" s="3" t="s">
        <v>63</v>
      </c>
      <c r="D1" s="3" t="s">
        <v>64</v>
      </c>
      <c r="E1" s="4" t="s">
        <v>65</v>
      </c>
    </row>
    <row r="2" spans="1:5" x14ac:dyDescent="0.3">
      <c r="A2" t="s">
        <v>67</v>
      </c>
      <c r="B2" t="s">
        <v>0</v>
      </c>
      <c r="C2" t="s">
        <v>73</v>
      </c>
      <c r="D2">
        <v>11</v>
      </c>
      <c r="E2" s="5" t="s">
        <v>77</v>
      </c>
    </row>
    <row r="3" spans="1:5" x14ac:dyDescent="0.3">
      <c r="A3" t="s">
        <v>67</v>
      </c>
      <c r="B3" t="s">
        <v>1</v>
      </c>
      <c r="C3" t="s">
        <v>74</v>
      </c>
      <c r="D3">
        <v>40</v>
      </c>
      <c r="E3" s="5" t="s">
        <v>80</v>
      </c>
    </row>
    <row r="4" spans="1:5" x14ac:dyDescent="0.3">
      <c r="A4" t="s">
        <v>67</v>
      </c>
      <c r="B4" t="s">
        <v>2</v>
      </c>
      <c r="C4" t="s">
        <v>74</v>
      </c>
      <c r="D4">
        <v>200</v>
      </c>
      <c r="E4" s="5" t="s">
        <v>81</v>
      </c>
    </row>
    <row r="5" spans="1:5" x14ac:dyDescent="0.3">
      <c r="A5" t="s">
        <v>67</v>
      </c>
      <c r="B5" t="s">
        <v>3</v>
      </c>
      <c r="C5" t="s">
        <v>75</v>
      </c>
      <c r="D5">
        <v>10.199999999999999</v>
      </c>
      <c r="E5" s="5" t="s">
        <v>82</v>
      </c>
    </row>
    <row r="6" spans="1:5" x14ac:dyDescent="0.3">
      <c r="A6" t="s">
        <v>67</v>
      </c>
      <c r="B6" t="s">
        <v>66</v>
      </c>
      <c r="C6" t="s">
        <v>75</v>
      </c>
      <c r="D6">
        <v>10.199999999999999</v>
      </c>
      <c r="E6" s="5" t="s">
        <v>83</v>
      </c>
    </row>
    <row r="7" spans="1:5" x14ac:dyDescent="0.3">
      <c r="A7" t="s">
        <v>70</v>
      </c>
      <c r="B7" t="s">
        <v>0</v>
      </c>
      <c r="C7" t="s">
        <v>73</v>
      </c>
      <c r="D7">
        <v>11</v>
      </c>
      <c r="E7" s="5" t="s">
        <v>77</v>
      </c>
    </row>
    <row r="8" spans="1:5" x14ac:dyDescent="0.3">
      <c r="A8" t="s">
        <v>70</v>
      </c>
      <c r="B8" t="s">
        <v>13</v>
      </c>
      <c r="C8" t="s">
        <v>73</v>
      </c>
      <c r="D8">
        <v>11</v>
      </c>
      <c r="E8" s="5" t="s">
        <v>78</v>
      </c>
    </row>
    <row r="9" spans="1:5" x14ac:dyDescent="0.3">
      <c r="A9" t="s">
        <v>70</v>
      </c>
      <c r="B9" t="s">
        <v>68</v>
      </c>
      <c r="C9" t="s">
        <v>73</v>
      </c>
      <c r="D9">
        <v>11</v>
      </c>
      <c r="E9" s="5" t="s">
        <v>79</v>
      </c>
    </row>
    <row r="10" spans="1:5" x14ac:dyDescent="0.3">
      <c r="A10" t="s">
        <v>70</v>
      </c>
      <c r="B10" t="s">
        <v>14</v>
      </c>
      <c r="C10" t="s">
        <v>74</v>
      </c>
      <c r="D10">
        <v>40</v>
      </c>
      <c r="E10" s="5" t="s">
        <v>84</v>
      </c>
    </row>
    <row r="11" spans="1:5" x14ac:dyDescent="0.3">
      <c r="A11" t="s">
        <v>70</v>
      </c>
      <c r="B11" t="s">
        <v>15</v>
      </c>
      <c r="C11" t="s">
        <v>74</v>
      </c>
      <c r="D11">
        <v>40</v>
      </c>
      <c r="E11" s="5" t="s">
        <v>86</v>
      </c>
    </row>
    <row r="12" spans="1:5" x14ac:dyDescent="0.3">
      <c r="A12" t="s">
        <v>70</v>
      </c>
      <c r="B12" t="s">
        <v>1</v>
      </c>
      <c r="C12" t="s">
        <v>74</v>
      </c>
      <c r="D12">
        <v>40</v>
      </c>
      <c r="E12" s="5" t="s">
        <v>87</v>
      </c>
    </row>
    <row r="13" spans="1:5" x14ac:dyDescent="0.3">
      <c r="A13" t="s">
        <v>70</v>
      </c>
      <c r="B13" t="s">
        <v>19</v>
      </c>
      <c r="C13" t="s">
        <v>74</v>
      </c>
      <c r="D13">
        <v>40</v>
      </c>
      <c r="E13" s="5" t="s">
        <v>88</v>
      </c>
    </row>
    <row r="14" spans="1:5" x14ac:dyDescent="0.3">
      <c r="A14" t="s">
        <v>70</v>
      </c>
      <c r="B14" t="s">
        <v>21</v>
      </c>
      <c r="C14" t="s">
        <v>76</v>
      </c>
      <c r="E14" s="5" t="s">
        <v>89</v>
      </c>
    </row>
    <row r="15" spans="1:5" x14ac:dyDescent="0.3">
      <c r="A15" t="s">
        <v>70</v>
      </c>
      <c r="B15" t="s">
        <v>58</v>
      </c>
      <c r="C15" t="s">
        <v>75</v>
      </c>
      <c r="D15">
        <v>10.199999999999999</v>
      </c>
      <c r="E15" s="5" t="s">
        <v>90</v>
      </c>
    </row>
    <row r="16" spans="1:5" x14ac:dyDescent="0.3">
      <c r="A16" t="s">
        <v>70</v>
      </c>
      <c r="B16" t="s">
        <v>69</v>
      </c>
      <c r="C16" t="s">
        <v>75</v>
      </c>
      <c r="D16">
        <v>10.199999999999999</v>
      </c>
      <c r="E16" s="5" t="s">
        <v>91</v>
      </c>
    </row>
    <row r="17" spans="1:5" x14ac:dyDescent="0.3">
      <c r="A17" t="s">
        <v>70</v>
      </c>
      <c r="B17" t="s">
        <v>60</v>
      </c>
      <c r="C17" t="s">
        <v>75</v>
      </c>
      <c r="D17">
        <v>10.199999999999999</v>
      </c>
      <c r="E17" s="5" t="s">
        <v>92</v>
      </c>
    </row>
    <row r="18" spans="1:5" x14ac:dyDescent="0.3">
      <c r="A18" t="s">
        <v>72</v>
      </c>
      <c r="B18" t="s">
        <v>0</v>
      </c>
      <c r="C18" t="s">
        <v>73</v>
      </c>
      <c r="D18">
        <v>11</v>
      </c>
      <c r="E18" s="5" t="s">
        <v>77</v>
      </c>
    </row>
    <row r="19" spans="1:5" x14ac:dyDescent="0.3">
      <c r="A19" t="s">
        <v>72</v>
      </c>
      <c r="B19" t="s">
        <v>43</v>
      </c>
      <c r="C19" t="s">
        <v>74</v>
      </c>
      <c r="D19">
        <v>40</v>
      </c>
      <c r="E19" s="5" t="s">
        <v>93</v>
      </c>
    </row>
    <row r="20" spans="1:5" x14ac:dyDescent="0.3">
      <c r="A20" t="s">
        <v>72</v>
      </c>
      <c r="B20" t="s">
        <v>14</v>
      </c>
      <c r="C20" t="s">
        <v>74</v>
      </c>
      <c r="D20">
        <v>40</v>
      </c>
      <c r="E20" s="5" t="s">
        <v>85</v>
      </c>
    </row>
    <row r="21" spans="1:5" x14ac:dyDescent="0.3">
      <c r="A21" t="s">
        <v>72</v>
      </c>
      <c r="B21" t="s">
        <v>71</v>
      </c>
      <c r="C21" t="s">
        <v>75</v>
      </c>
      <c r="D21">
        <v>10.199999999999999</v>
      </c>
      <c r="E21" s="5" t="s">
        <v>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Consultas</vt:lpstr>
      <vt:lpstr>Clientes</vt:lpstr>
      <vt:lpstr>Veterinário</vt:lpstr>
      <vt:lpstr>dicionario_de_dados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ENRICO BARICHELLO</dc:creator>
  <cp:lastModifiedBy>GUILHERME ENRICO BARICHELLO</cp:lastModifiedBy>
  <dcterms:created xsi:type="dcterms:W3CDTF">2026-08-18T11:09:07Z</dcterms:created>
  <dcterms:modified xsi:type="dcterms:W3CDTF">2026-08-25T12:21:16Z</dcterms:modified>
</cp:coreProperties>
</file>