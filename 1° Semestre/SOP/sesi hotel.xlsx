
<file path=[Content_Types].xml><?xml version="1.0" encoding="utf-8"?>
<Types xmlns="http://schemas.openxmlformats.org/package/2006/content-types">
  <Default Extension="0255f60c2184cc753f6c992d105abbf2" ContentType="image/jpeg"/>
  <Default Extension="93128486ec80a90bbdf493942cc7da0e" ContentType="image/jpeg"/>
  <Default Extension="b890dc74fd4afb933e25d3b3dbb56738" ContentType="image/jpeg"/>
  <Default Extension="c174vkp" ContentType="image/jpeg"/>
  <Default Extension="f8ce62c715d7e9d4b21218643818351c" ContentType="image/jpeg"/>
  <Default Extension="gMtP3C2GdabKK6yxhaHEWnq7xg6yQAtYQfUSTHJ7DzI" ContentType="image/jpeg"/>
  <Default Extension="jpeg" ContentType="image/jpeg"/>
  <Default Extension="OAaXqI8zMa" ContentType="image/jpeg"/>
  <Default Extension="rels" ContentType="application/vnd.openxmlformats-package.relationships+xml"/>
  <Default Extension="xml" ContentType="application/xml"/>
  <Default Extension="ygooYjA6iT42"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Guilherme Barichello\Desktop\SENAI\SOP\"/>
    </mc:Choice>
  </mc:AlternateContent>
  <xr:revisionPtr revIDLastSave="0" documentId="8_{555AF385-97F2-4AB4-B823-EBE118C6CC28}" xr6:coauthVersionLast="47" xr6:coauthVersionMax="47" xr10:uidLastSave="{00000000-0000-0000-0000-000000000000}"/>
  <bookViews>
    <workbookView xWindow="-108" yWindow="-108" windowWidth="23256" windowHeight="12456" xr2:uid="{A20A527C-2C25-430E-A899-7ED5F7766E2C}"/>
  </bookViews>
  <sheets>
    <sheet name="Planilha1" sheetId="1" r:id="rId1"/>
    <sheet name="Configuraçõ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 i="1" l="1" a="1"/>
  <c r="M4" i="1" s="1"/>
  <c r="M5" i="1" a="1"/>
  <c r="M5" i="1" s="1"/>
  <c r="M6" i="1" a="1"/>
  <c r="M6" i="1" s="1"/>
  <c r="M7" i="1" a="1"/>
  <c r="M7" i="1" s="1"/>
  <c r="M8" i="1" a="1"/>
  <c r="M8" i="1" s="1"/>
  <c r="M9" i="1" a="1"/>
  <c r="M9" i="1" s="1"/>
  <c r="M10" i="1" a="1"/>
  <c r="M10" i="1" s="1"/>
  <c r="M11" i="1" a="1"/>
  <c r="M11" i="1" s="1"/>
  <c r="M3" i="1" a="1"/>
  <c r="M3" i="1" s="1"/>
  <c r="K4" i="1"/>
  <c r="K5" i="1"/>
  <c r="K6" i="1"/>
  <c r="K7" i="1"/>
  <c r="L7" i="1" s="1"/>
  <c r="K8" i="1"/>
  <c r="K9" i="1"/>
  <c r="K10" i="1"/>
  <c r="K11" i="1"/>
  <c r="K3" i="1"/>
  <c r="H3" i="1"/>
  <c r="L3" i="1" s="1"/>
  <c r="H4" i="1"/>
  <c r="L4" i="1" s="1"/>
  <c r="H5" i="1"/>
  <c r="L5" i="1" s="1"/>
  <c r="H6" i="1"/>
  <c r="L6" i="1" s="1"/>
  <c r="H7" i="1"/>
  <c r="H8" i="1"/>
  <c r="H9" i="1"/>
  <c r="H10" i="1"/>
  <c r="L10" i="1" s="1"/>
  <c r="H11" i="1"/>
  <c r="L11" i="1" s="1"/>
  <c r="I4" i="1"/>
  <c r="I5" i="1"/>
  <c r="I6" i="1"/>
  <c r="I7" i="1"/>
  <c r="I8" i="1"/>
  <c r="L8" i="1" s="1"/>
  <c r="I9" i="1"/>
  <c r="L9" i="1" s="1"/>
  <c r="I10" i="1"/>
  <c r="I11" i="1"/>
  <c r="I3" i="1"/>
  <c r="D4" i="1"/>
  <c r="D5" i="1"/>
  <c r="D6" i="1"/>
  <c r="D7" i="1"/>
  <c r="D8" i="1"/>
  <c r="D9" i="1"/>
  <c r="D10" i="1"/>
  <c r="D11" i="1"/>
  <c r="D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0"/>
        </ext>
      </extLst>
    </bk>
    <bk>
      <extLst>
        <ext uri="{3e2802c4-a4d2-4d8b-9148-e3be6c30e623}">
          <xlrd:rvb i="75"/>
        </ext>
      </extLst>
    </bk>
    <bk>
      <extLst>
        <ext uri="{3e2802c4-a4d2-4d8b-9148-e3be6c30e623}">
          <xlrd:rvb i="76"/>
        </ext>
      </extLst>
    </bk>
    <bk>
      <extLst>
        <ext uri="{3e2802c4-a4d2-4d8b-9148-e3be6c30e623}">
          <xlrd:rvb i="146"/>
        </ext>
      </extLst>
    </bk>
    <bk>
      <extLst>
        <ext uri="{3e2802c4-a4d2-4d8b-9148-e3be6c30e623}">
          <xlrd:rvb i="147"/>
        </ext>
      </extLst>
    </bk>
    <bk>
      <extLst>
        <ext uri="{3e2802c4-a4d2-4d8b-9148-e3be6c30e623}">
          <xlrd:rvb i="214"/>
        </ext>
      </extLst>
    </bk>
    <bk>
      <extLst>
        <ext uri="{3e2802c4-a4d2-4d8b-9148-e3be6c30e623}">
          <xlrd:rvb i="215"/>
        </ext>
      </extLst>
    </bk>
    <bk>
      <extLst>
        <ext uri="{3e2802c4-a4d2-4d8b-9148-e3be6c30e623}">
          <xlrd:rvb i="273"/>
        </ext>
      </extLst>
    </bk>
    <bk>
      <extLst>
        <ext uri="{3e2802c4-a4d2-4d8b-9148-e3be6c30e623}">
          <xlrd:rvb i="274"/>
        </ext>
      </extLst>
    </bk>
    <bk>
      <extLst>
        <ext uri="{3e2802c4-a4d2-4d8b-9148-e3be6c30e623}">
          <xlrd:rvb i="345"/>
        </ext>
      </extLst>
    </bk>
    <bk>
      <extLst>
        <ext uri="{3e2802c4-a4d2-4d8b-9148-e3be6c30e623}">
          <xlrd:rvb i="346"/>
        </ext>
      </extLst>
    </bk>
    <bk>
      <extLst>
        <ext uri="{3e2802c4-a4d2-4d8b-9148-e3be6c30e623}">
          <xlrd:rvb i="407"/>
        </ext>
      </extLst>
    </bk>
    <bk>
      <extLst>
        <ext uri="{3e2802c4-a4d2-4d8b-9148-e3be6c30e623}">
          <xlrd:rvb i="408"/>
        </ext>
      </extLst>
    </bk>
    <bk>
      <extLst>
        <ext uri="{3e2802c4-a4d2-4d8b-9148-e3be6c30e623}">
          <xlrd:rvb i="472"/>
        </ext>
      </extLst>
    </bk>
    <bk>
      <extLst>
        <ext uri="{3e2802c4-a4d2-4d8b-9148-e3be6c30e623}">
          <xlrd:rvb i="473"/>
        </ext>
      </extLst>
    </bk>
    <bk>
      <extLst>
        <ext uri="{3e2802c4-a4d2-4d8b-9148-e3be6c30e623}">
          <xlrd:rvb i="552"/>
        </ext>
      </extLst>
    </bk>
    <bk>
      <extLst>
        <ext uri="{3e2802c4-a4d2-4d8b-9148-e3be6c30e623}">
          <xlrd:rvb i="553"/>
        </ext>
      </extLst>
    </bk>
    <bk>
      <extLst>
        <ext uri="{3e2802c4-a4d2-4d8b-9148-e3be6c30e623}">
          <xlrd:rvb i="567"/>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<sst xmlns="http://schemas.openxmlformats.org/spreadsheetml/2006/main" count="63" uniqueCount="42">
  <si>
    <t>SESI HOTEL</t>
  </si>
  <si>
    <t>Hospede</t>
  </si>
  <si>
    <t>Email</t>
  </si>
  <si>
    <t>Data de Saída</t>
  </si>
  <si>
    <t>Acomodação</t>
  </si>
  <si>
    <t>Qtde. Diárias</t>
  </si>
  <si>
    <t>Gastos Extras</t>
  </si>
  <si>
    <t>Valor Gastos Extras</t>
  </si>
  <si>
    <t>Total a Pagar</t>
  </si>
  <si>
    <t>Valor da Diaria</t>
  </si>
  <si>
    <t>Data de Entrada</t>
  </si>
  <si>
    <t>Neymar</t>
  </si>
  <si>
    <t>Lionel</t>
  </si>
  <si>
    <t>Messi</t>
  </si>
  <si>
    <t>Cristiano</t>
  </si>
  <si>
    <t>Ronaldo</t>
  </si>
  <si>
    <t>Alexander</t>
  </si>
  <si>
    <t>Diku</t>
  </si>
  <si>
    <t>Killyam</t>
  </si>
  <si>
    <t>Mbappe</t>
  </si>
  <si>
    <t>Erling</t>
  </si>
  <si>
    <t>Halland</t>
  </si>
  <si>
    <t>Lamine</t>
  </si>
  <si>
    <t>Yammal</t>
  </si>
  <si>
    <t>Guilhermo</t>
  </si>
  <si>
    <t>Ochoa</t>
  </si>
  <si>
    <t>Jude</t>
  </si>
  <si>
    <t>Bellingham</t>
  </si>
  <si>
    <t>Jr</t>
  </si>
  <si>
    <t>Acomodações/Diárias</t>
  </si>
  <si>
    <t>Tipo</t>
  </si>
  <si>
    <t>Valor</t>
  </si>
  <si>
    <t>Simples</t>
  </si>
  <si>
    <t>Sauna</t>
  </si>
  <si>
    <t>Master</t>
  </si>
  <si>
    <t>Presidencial</t>
  </si>
  <si>
    <t>Cobertura</t>
  </si>
  <si>
    <t>Frigobar</t>
  </si>
  <si>
    <t>Cassino</t>
  </si>
  <si>
    <t>Jantar</t>
  </si>
  <si>
    <t>N</t>
  </si>
  <si>
    <t>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</si>
</sst>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horizontal="center"/>
    </xf>
    <xf numFmtId="44" fontId="0" fillId="0" borderId="0" xfId="1" applyFont="1"/>
    <xf numFmtId="0" fontId="0" fillId="2" borderId="1" xfId="0" applyFill="1" applyBorder="1" applyAlignment="1">
      <alignment horizontal="center" wrapText="1"/>
    </xf>
    <xf numFmtId="0" fontId="0" fillId="2" borderId="1" xfId="0" applyFill="1" applyBorder="1" applyAlignment="1">
      <alignment wrapText="1"/>
    </xf>
    <xf numFmtId="0" fontId="0" fillId="3" borderId="1" xfId="0" applyFill="1" applyBorder="1" applyAlignment="1">
      <alignment horizontal="center"/>
    </xf>
    <xf numFmtId="0" fontId="0" fillId="0" borderId="1" xfId="0" applyBorder="1"/>
    <xf numFmtId="14" fontId="0" fillId="0" borderId="1" xfId="0" applyNumberFormat="1" applyBorder="1" applyAlignment="1">
      <alignment horizontal="center"/>
    </xf>
    <xf numFmtId="44" fontId="0" fillId="0" borderId="1" xfId="1" applyFont="1" applyBorder="1"/>
    <xf numFmtId="44" fontId="0" fillId="0" borderId="1" xfId="0" applyNumberFormat="1" applyBorder="1"/>
    <xf numFmtId="0" fontId="0" fillId="2" borderId="1" xfId="0" applyFill="1" applyBorder="1"/>
    <xf numFmtId="0" fontId="0" fillId="2" borderId="2" xfId="0" applyFont="1" applyFill="1" applyBorder="1" applyAlignment="1">
      <alignment horizontal="center"/>
    </xf>
    <xf numFmtId="0" fontId="0" fillId="2" borderId="3" xfId="0" applyFont="1" applyFill="1" applyBorder="1" applyAlignment="1">
      <alignment horizontal="center"/>
    </xf>
    <xf numFmtId="0" fontId="0" fillId="2" borderId="4" xfId="0"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13" Type="http://schemas.openxmlformats.org/officeDocument/2006/relationships/hyperlink" Target="https://www.bing.com/th?id=OSK.OAaXqI8zMa-EVN-oP1TBa3c37-igmn6hk9cYPRlEuUg&amp;qlt=95" TargetMode="External"/><Relationship Id="rId18" Type="http://schemas.openxmlformats.org/officeDocument/2006/relationships/image" Target="../media/image6.0255f60c2184cc753f6c992d105abbf2"/><Relationship Id="rId26" Type="http://schemas.openxmlformats.org/officeDocument/2006/relationships/hyperlink" Target="https://www.bing.com/images/search?form=xlimg&amp;q=England" TargetMode="External"/><Relationship Id="rId3" Type="http://schemas.openxmlformats.org/officeDocument/2006/relationships/image" Target="../media/image1.c174vkp"/><Relationship Id="rId21" Type="http://schemas.openxmlformats.org/officeDocument/2006/relationships/image" Target="../media/image7.jpeg"/><Relationship Id="rId7" Type="http://schemas.openxmlformats.org/officeDocument/2006/relationships/hyperlink" Target="https://www.bing.com/th?id=OSK.gMtP3C2GdabKK6yxhaHEWnq7xg6yQAtYQfUSTHJ7DzI&amp;qlt=95" TargetMode="External"/><Relationship Id="rId12" Type="http://schemas.openxmlformats.org/officeDocument/2006/relationships/image" Target="../media/image4.f8ce62c715d7e9d4b21218643818351c"/><Relationship Id="rId17" Type="http://schemas.openxmlformats.org/officeDocument/2006/relationships/hyperlink" Target="https://www.bing.com/images/search?form=xlimg&amp;q=Norway" TargetMode="External"/><Relationship Id="rId25" Type="http://schemas.openxmlformats.org/officeDocument/2006/relationships/hyperlink" Target="https://www.bing.com/th?id=OSK.ygooYjA6iT42_GgogbAFHJ7uaMJooVJETiXZurCAvXU&amp;qlt=95" TargetMode="External"/><Relationship Id="rId2" Type="http://schemas.openxmlformats.org/officeDocument/2006/relationships/hyperlink" Target="https://www.bing.com/images/search?form=xlimg&amp;q=Brazil" TargetMode="External"/><Relationship Id="rId16" Type="http://schemas.openxmlformats.org/officeDocument/2006/relationships/hyperlink" Target="https://www.bing.com/th?id=OSK.0255f60c2184cc753f6c992d105abbf2&amp;qlt=95" TargetMode="External"/><Relationship Id="rId20" Type="http://schemas.openxmlformats.org/officeDocument/2006/relationships/hyperlink" Target="https://www.bing.com/images/search?form=xlimg&amp;q=Spain" TargetMode="External"/><Relationship Id="rId1" Type="http://schemas.openxmlformats.org/officeDocument/2006/relationships/hyperlink" Target="https://www.bing.com/th?id=OSK.c174vkp-Zo4Dd5LaGmi36_YEqp8aChF67l_7EZFg8I8&amp;qlt=95" TargetMode="External"/><Relationship Id="rId6" Type="http://schemas.openxmlformats.org/officeDocument/2006/relationships/image" Target="../media/image2.93128486ec80a90bbdf493942cc7da0e"/><Relationship Id="rId11" Type="http://schemas.openxmlformats.org/officeDocument/2006/relationships/hyperlink" Target="https://www.bing.com/images/search?form=xlimg&amp;q=Ghana" TargetMode="External"/><Relationship Id="rId24" Type="http://schemas.openxmlformats.org/officeDocument/2006/relationships/image" Target="../media/image8.b890dc74fd4afb933e25d3b3dbb56738"/><Relationship Id="rId5" Type="http://schemas.openxmlformats.org/officeDocument/2006/relationships/hyperlink" Target="https://www.bing.com/images/search?form=xlimg&amp;q=Argentina" TargetMode="External"/><Relationship Id="rId15" Type="http://schemas.openxmlformats.org/officeDocument/2006/relationships/image" Target="../media/image5.OAaXqI8zMa"/><Relationship Id="rId23" Type="http://schemas.openxmlformats.org/officeDocument/2006/relationships/hyperlink" Target="https://www.bing.com/images/search?form=xlimg&amp;q=Mexico" TargetMode="External"/><Relationship Id="rId10" Type="http://schemas.openxmlformats.org/officeDocument/2006/relationships/hyperlink" Target="https://www.bing.com/th?id=OSK.f8ce62c715d7e9d4b21218643818351c&amp;qlt=95" TargetMode="External"/><Relationship Id="rId19" Type="http://schemas.openxmlformats.org/officeDocument/2006/relationships/hyperlink" Target="https://www.bing.com/th?id=OSK._1ex9cuuxW0pGSoiETBzJmszoKu2DeR2Tjr2wNfSpk4&amp;qlt=95" TargetMode="External"/><Relationship Id="rId4" Type="http://schemas.openxmlformats.org/officeDocument/2006/relationships/hyperlink" Target="https://www.bing.com/th?id=OSK.93128486ec80a90bbdf493942cc7da0e&amp;qlt=95" TargetMode="External"/><Relationship Id="rId9" Type="http://schemas.openxmlformats.org/officeDocument/2006/relationships/image" Target="../media/image3.gMtP3C2GdabKK6yxhaHEWnq7xg6yQAtYQfUSTHJ7DzI"/><Relationship Id="rId14" Type="http://schemas.openxmlformats.org/officeDocument/2006/relationships/hyperlink" Target="https://www.bing.com/images/search?form=xlimg&amp;q=France" TargetMode="External"/><Relationship Id="rId22" Type="http://schemas.openxmlformats.org/officeDocument/2006/relationships/hyperlink" Target="https://www.bing.com/th?id=OSK.b890dc74fd4afb933e25d3b3dbb56738&amp;qlt=95" TargetMode="External"/><Relationship Id="rId27" Type="http://schemas.openxmlformats.org/officeDocument/2006/relationships/image" Target="../media/image9.ygooYjA6iT42"/></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blip r:id="rId6"/>
  </webImageSrd>
  <webImageSrd>
    <address r:id="rId7"/>
    <moreImagesAddress r:id="rId8"/>
    <blip r:id="rId9"/>
  </webImageSrd>
  <webImageSrd>
    <address r:id="rId10"/>
    <moreImagesAddress r:id="rId11"/>
    <blip r:id="rId12"/>
  </webImageSrd>
  <webImageSrd>
    <address r:id="rId13"/>
    <moreImagesAddress r:id="rId14"/>
    <blip r:id="rId15"/>
  </webImageSrd>
  <webImageSrd>
    <address r:id="rId16"/>
    <moreImagesAddress r:id="rId17"/>
    <blip r:id="rId18"/>
  </webImageSrd>
  <webImageSrd>
    <address r:id="rId19"/>
    <moreImagesAddress r:id="rId20"/>
    <blip r:id="rId21"/>
  </webImageSrd>
  <webImageSrd>
    <address r:id="rId22"/>
    <moreImagesAddress r:id="rId23"/>
    <blip r:id="rId24"/>
  </webImageSrd>
  <webImageSrd>
    <address r:id="rId25"/>
    <moreImagesAddress r:id="rId26"/>
    <blip r:id="rId27"/>
  </webImageSrd>
</webImagesSrd>
</file>

<file path=xl/richData/rdarray.xml><?xml version="1.0" encoding="utf-8"?>
<arrayData xmlns="http://schemas.microsoft.com/office/spreadsheetml/2017/richdata2" count="32">
  <a r="3">
    <v t="s">Fernando de Noronha Time Zone</v>
    <v t="s">Brasília Time Zone</v>
    <v t="s">Amazon Time Zone</v>
  </a>
  <a r="1">
    <v t="s">Língua portuguesa</v>
  </a>
  <a r="2">
    <v t="r">17</v>
    <v t="r">18</v>
  </a>
  <a r="27">
    <v t="r">39</v>
    <v t="r">40</v>
    <v t="r">41</v>
    <v t="r">42</v>
    <v t="r">43</v>
    <v t="r">44</v>
    <v t="r">45</v>
    <v t="r">46</v>
    <v t="r">47</v>
    <v t="r">48</v>
    <v t="r">49</v>
    <v t="r">50</v>
    <v t="r">51</v>
    <v t="r">52</v>
    <v t="r">53</v>
    <v t="r">54</v>
    <v t="r">55</v>
    <v t="r">56</v>
    <v t="r">57</v>
    <v t="r">58</v>
    <v t="r">59</v>
    <v t="r">60</v>
    <v t="r">61</v>
    <v t="r">62</v>
    <v t="r">63</v>
    <v t="r">64</v>
    <v t="r">65</v>
  </a>
  <a r="1">
    <v t="s">Time in Argentina</v>
  </a>
  <a r="1">
    <v t="s">Língua castelhana</v>
  </a>
  <a r="2">
    <v t="r">93</v>
    <v t="r">94</v>
  </a>
  <a r="23">
    <v t="r">114</v>
    <v t="r">115</v>
    <v t="r">116</v>
    <v t="r">117</v>
    <v t="r">118</v>
    <v t="r">119</v>
    <v t="r">120</v>
    <v t="r">121</v>
    <v t="r">122</v>
    <v t="r">123</v>
    <v t="r">124</v>
    <v t="r">125</v>
    <v t="r">126</v>
    <v t="r">127</v>
    <v t="r">128</v>
    <v t="r">129</v>
    <v t="r">130</v>
    <v t="r">131</v>
    <v t="r">132</v>
    <v t="r">133</v>
    <v t="r">134</v>
    <v t="r">135</v>
    <v t="r">136</v>
  </a>
  <a r="2">
    <v t="s">Horário de Verão da Europa Ocidental</v>
    <v t="s">Horário da Europa Ocidental</v>
  </a>
  <a r="3">
    <v t="r">163</v>
    <v t="r">164</v>
    <v t="r">165</v>
  </a>
  <a r="20">
    <v t="r">185</v>
    <v t="r">186</v>
    <v t="r">187</v>
    <v t="r">188</v>
    <v t="r">189</v>
    <v t="r">190</v>
    <v t="r">191</v>
    <v t="r">192</v>
    <v t="r">193</v>
    <v t="r">194</v>
    <v t="r">195</v>
    <v t="r">196</v>
    <v t="r">197</v>
    <v t="r">198</v>
    <v t="r">199</v>
    <v t="r">200</v>
    <v t="r">201</v>
    <v t="r">202</v>
    <v t="r">203</v>
    <v t="r">204</v>
  </a>
  <a r="1">
    <v t="s">Africa/Accra</v>
  </a>
  <a r="1">
    <v t="s">Língua inglesa</v>
  </a>
  <a r="4">
    <v t="r">232</v>
    <v t="r">233</v>
    <v t="r">234</v>
    <v t="r">235</v>
  </a>
  <a r="9">
    <v t="r">255</v>
    <v t="r">256</v>
    <v t="r">257</v>
    <v t="r">258</v>
    <v t="r">259</v>
    <v t="r">260</v>
    <v t="r">261</v>
    <v t="r">262</v>
    <v t="r">263</v>
  </a>
  <a r="1">
    <v t="s">Horário da Europa Central</v>
  </a>
  <a r="1">
    <v t="s">Língua francesa</v>
  </a>
  <a r="2">
    <v t="r">291</v>
    <v t="r">292</v>
  </a>
  <a r="25">
    <v t="r">312</v>
    <v t="r">313</v>
    <v t="r">314</v>
    <v t="r">315</v>
    <v t="r">316</v>
    <v t="r">317</v>
    <v t="r">318</v>
    <v t="r">319</v>
    <v t="r">320</v>
    <v t="r">321</v>
    <v t="r">322</v>
    <v t="r">323</v>
    <v t="r">324</v>
    <v t="r">325</v>
    <v t="r">326</v>
    <v t="r">327</v>
    <v t="r">328</v>
    <v t="r">329</v>
    <v t="r">330</v>
    <v t="r">331</v>
    <v t="r">332</v>
    <v t="r">333</v>
    <v t="r">334</v>
    <v t="r">335</v>
    <v t="r">336</v>
  </a>
  <a r="2">
    <v t="s">Horário da Europa Central</v>
    <v t="s">Europe/Oslo</v>
  </a>
  <a r="1">
    <v t="s">Língua norueguesa</v>
  </a>
  <a r="4">
    <v t="r">363</v>
    <v t="r">364</v>
    <v t="r">365</v>
    <v t="r">366</v>
  </a>
  <a r="14">
    <v t="r">385</v>
    <v t="r">350</v>
    <v t="r">386</v>
    <v t="r">387</v>
    <v t="r">388</v>
    <v t="r">389</v>
    <v t="r">390</v>
    <v t="r">391</v>
    <v t="r">392</v>
    <v t="r">393</v>
    <v t="r">394</v>
    <v t="r">395</v>
    <v t="r">396</v>
    <v t="r">397</v>
  </a>
  <a r="2">
    <v t="s">UTC+2</v>
    <v t="s">UTC+1</v>
  </a>
  <a r="2">
    <v t="r">424</v>
    <v t="r">425</v>
  </a>
  <a r="18">
    <v t="r">445</v>
    <v t="r">446</v>
    <v t="r">447</v>
    <v t="r">448</v>
    <v t="r">449</v>
    <v t="r">450</v>
    <v t="r">451</v>
    <v t="r">452</v>
    <v t="r">453</v>
    <v t="r">454</v>
    <v t="r">455</v>
    <v t="r">456</v>
    <v t="r">457</v>
    <v t="r">458</v>
    <v t="r">459</v>
    <v t="r">460</v>
    <v t="r">461</v>
    <v t="r">462</v>
  </a>
  <a r="4">
    <v t="s">Horário Padrão Central</v>
    <v t="s">Horário padrão da montanha</v>
    <v t="s">Pacific Time Zone</v>
    <v t="s">Zona de Tempo Oriental</v>
  </a>
  <a r="1">
    <v t="s">Espanhol mexicano</v>
  </a>
  <a r="3">
    <v t="r">490</v>
    <v t="r">491</v>
    <v t="r">492</v>
  </a>
  <a r="32">
    <v t="r">477</v>
    <v t="r">512</v>
    <v t="r">513</v>
    <v t="r">514</v>
    <v t="r">515</v>
    <v t="r">516</v>
    <v t="r">517</v>
    <v t="r">518</v>
    <v t="r">519</v>
    <v t="r">520</v>
    <v t="r">521</v>
    <v t="r">522</v>
    <v t="r">523</v>
    <v t="r">524</v>
    <v t="r">525</v>
    <v t="r">526</v>
    <v t="r">527</v>
    <v t="r">528</v>
    <v t="r">529</v>
    <v t="r">530</v>
    <v t="r">531</v>
    <v t="r">532</v>
    <v t="r">533</v>
    <v t="r">534</v>
    <v t="r">535</v>
    <v t="r">536</v>
    <v t="r">537</v>
    <v t="r">538</v>
    <v t="r">539</v>
    <v t="r">540</v>
    <v t="r">541</v>
    <v t="r">542</v>
  </a>
  <a r="2">
    <v t="s">Tempo Médio de Greenwich</v>
    <v t="s">Horário da Europa Ocidental</v>
  </a>
  <a r="1">
    <v t="r">560</v>
  </a>
</arrayData>
</file>

<file path=xl/richData/rdrichvalue.xml><?xml version="1.0" encoding="utf-8"?>
<rvData xmlns="http://schemas.microsoft.com/office/spreadsheetml/2017/richdata" count="568">
  <rv s="0">
    <v>536870912</v>
    <v>Brazil</v>
    <v>a828cf41-b938-49fe-7986-4b336618d413</v>
    <v>pt-BR</v>
    <v>Map</v>
  </rv>
  <rv s="1">
    <fb>3.7329762121689397E-2</fb>
    <v>24</v>
  </rv>
  <rv s="1">
    <fb>8515767</fb>
    <v>25</v>
  </rv>
  <rv s="1">
    <fb>0.58931054038338704</fb>
    <v>24</v>
  </rv>
  <rv s="0">
    <v>536870912</v>
    <v>Brasília</v>
    <v>0f4c1a26-f33c-b6de-a63f-578da6617369</v>
    <v>pt-BR</v>
    <v>Map</v>
  </rv>
  <rv s="1">
    <fb>1187361690000</fb>
    <v>26</v>
  </rv>
  <rv s="1">
    <fb>55</fb>
    <v>27</v>
  </rv>
  <rv s="1">
    <fb>59.1075326389753</fb>
    <v>28</v>
  </rv>
  <rv s="1">
    <fb>2619.96061573831</fb>
    <v>25</v>
  </rv>
  <rv s="1">
    <fb>0.28289823089999999</fb>
    <v>24</v>
  </rv>
  <rv s="1">
    <fb>462298.69</fb>
    <v>25</v>
  </rv>
  <rv s="1">
    <fb>75.671999999999997</fb>
    <v>28</v>
  </rv>
  <rv s="2">
    <v>0</v>
  </rv>
  <rv s="2">
    <v>1</v>
  </rv>
  <rv s="3">
    <v>0</v>
    <v>22</v>
    <v>2</v>
    <v>7</v>
    <v>0</v>
    <v>Image of Brazil</v>
  </rv>
  <rv s="1">
    <fb>167.397860280061</fb>
    <v>29</v>
  </rv>
  <rv s="4">
    <v>https://www.bing.com/search?q=Brasil&amp;form=skydnc</v>
    <v>Aprenda mais com Bing</v>
  </rv>
  <rv s="0">
    <v>805306368</v>
    <v>Luiz Inácio Lula da Silva (Presidente)</v>
    <v>d1dff6dd-e1d9-642a-4044-fc3f6765ae2b</v>
    <v>pt-BR</v>
    <v>Generic</v>
  </rv>
  <rv s="0">
    <v>805306368</v>
    <v>Geraldo Alckmin (Vice-presidente)</v>
    <v>ea2c259d-ca87-ae96-81e3-8e0b97870fa3</v>
    <v>pt-BR</v>
    <v>Generic</v>
  </rv>
  <rv s="2">
    <v>2</v>
  </rv>
  <rv s="0">
    <v>536870912</v>
    <v>São Paulo</v>
    <v>c6cf2f6e-626c-4267-ae48-9e13ea74d2b9</v>
    <v>pt-BR</v>
    <v>Map</v>
  </rv>
  <rv s="1">
    <fb>2.1499000000000001</fb>
    <v>30</v>
  </rv>
  <rv s="1">
    <fb>12.8</fb>
    <v>28</v>
  </rv>
  <rv s="1">
    <fb>1839758040765.6201</fb>
    <v>26</v>
  </rv>
  <rv s="1">
    <fb>221359387</fb>
    <v>25</v>
  </rv>
  <rv s="1">
    <fb>183241641</fb>
    <v>25</v>
  </rv>
  <rv s="1">
    <fb>0.63883998870849601</fb>
    <v>24</v>
  </rv>
  <rv s="1">
    <fb>0.01</fb>
    <v>24</v>
  </rv>
  <rv s="1">
    <fb>0.42499999999999999</fb>
    <v>24</v>
  </rv>
  <rv s="1">
    <fb>0.192</fb>
    <v>24</v>
  </rv>
  <rv s="1">
    <fb>7.2999999999999995E-2</fb>
    <v>24</v>
  </rv>
  <rv s="1">
    <fb>0.12</fb>
    <v>24</v>
  </rv>
  <rv s="1">
    <fb>3.1E-2</fb>
    <v>24</v>
  </rv>
  <rv s="1">
    <fb>0.58399999999999996</fb>
    <v>24</v>
  </rv>
  <rv s="1">
    <fb>1.02</fb>
    <v>31</v>
  </rv>
  <rv s="1">
    <fb>1.1544783999999999</fb>
    <v>24</v>
  </rv>
  <rv s="1">
    <fb>0.513436</fb>
    <v>24</v>
  </rv>
  <rv s="1">
    <fb>0.14178605589771201</fb>
    <v>24</v>
  </rv>
  <rv s="1">
    <fb>1.53</fb>
    <v>31</v>
  </rv>
  <rv s="0">
    <v>536870912</v>
    <v>Acre</v>
    <v>8960bf27-5261-01d1-4019-e7d898f67bb4</v>
    <v>pt-BR</v>
    <v>Map</v>
  </rv>
  <rv s="0">
    <v>536870912</v>
    <v>Amapá</v>
    <v>28d39e09-4b9f-31f6-cc72-48b1f9be59db</v>
    <v>pt-BR</v>
    <v>Map</v>
  </rv>
  <rv s="0">
    <v>536870912</v>
    <v>Amazonas</v>
    <v>f79e57ca-6fc1-5a6a-015b-38d90f33902f</v>
    <v>pt-BR</v>
    <v>Map</v>
  </rv>
  <rv s="0">
    <v>536870912</v>
    <v>Pará</v>
    <v>7a0db70a-73db-e83d-e548-6fab7a523b35</v>
    <v>pt-BR</v>
    <v>Map</v>
  </rv>
  <rv s="0">
    <v>536870912</v>
    <v>Rondônia</v>
    <v>25fbe5d5-9bc1-0ec2-ac78-2d9fe5b147dd</v>
    <v>pt-BR</v>
    <v>Map</v>
  </rv>
  <rv s="0">
    <v>536870912</v>
    <v>Roraima</v>
    <v>3b8383a2-7c79-31f6-2359-bd9ba2099213</v>
    <v>pt-BR</v>
    <v>Map</v>
  </rv>
  <rv s="0">
    <v>536870912</v>
    <v>Tocantins</v>
    <v>f7a46dfe-e192-d6f7-e5f8-084e555ba7cb</v>
    <v>pt-BR</v>
    <v>Map</v>
  </rv>
  <rv s="0">
    <v>536870912</v>
    <v>Alagoas</v>
    <v>4e3f1ba4-1948-0514-728a-55b34ab027b4</v>
    <v>pt-BR</v>
    <v>Map</v>
  </rv>
  <rv s="0">
    <v>536870912</v>
    <v>Bahia</v>
    <v>e904684f-6d5b-f7bb-c27d-bdb50a0ec8ab</v>
    <v>pt-BR</v>
    <v>Map</v>
  </rv>
  <rv s="0">
    <v>536870912</v>
    <v>Ceará</v>
    <v>b598e20e-29fb-ccf6-be0e-2650e6ba40c5</v>
    <v>pt-BR</v>
    <v>Map</v>
  </rv>
  <rv s="0">
    <v>536870912</v>
    <v>Maranhão</v>
    <v>98274980-9da4-ff5e-78a1-e512bb4179ca</v>
    <v>pt-BR</v>
    <v>Map</v>
  </rv>
  <rv s="0">
    <v>536870912</v>
    <v>Paraíba</v>
    <v>f5be810b-3322-2252-c10f-35206d84b548</v>
    <v>pt-BR</v>
    <v>Map</v>
  </rv>
  <rv s="0">
    <v>536870912</v>
    <v>Pernambuco</v>
    <v>5538aab1-15ae-294f-2c10-f5083201cca1</v>
    <v>pt-BR</v>
    <v>Map</v>
  </rv>
  <rv s="0">
    <v>536870912</v>
    <v>Piauí</v>
    <v>ab11433a-8357-ae6d-67fe-8570cc271399</v>
    <v>pt-BR</v>
    <v>Map</v>
  </rv>
  <rv s="0">
    <v>536870912</v>
    <v>Rio Grande do Norte</v>
    <v>4cccb40d-d26b-4493-e031-bcf803f1c2b1</v>
    <v>pt-BR</v>
    <v>Map</v>
  </rv>
  <rv s="0">
    <v>536870912</v>
    <v>Sergipe</v>
    <v>a7f70762-a1ab-d5de-8bf0-3eb8532c1eb9</v>
    <v>pt-BR</v>
    <v>Map</v>
  </rv>
  <rv s="0">
    <v>536870912</v>
    <v>Goiás</v>
    <v>38750702-647a-b72a-2cec-e4a55e078f36</v>
    <v>pt-BR</v>
    <v>Map</v>
  </rv>
  <rv s="0">
    <v>536870912</v>
    <v>Mato Grosso</v>
    <v>af05c757-4d77-813e-b8eb-97635c07f37a</v>
    <v>pt-BR</v>
    <v>Map</v>
  </rv>
  <rv s="0">
    <v>536870912</v>
    <v>Mato Grosso do Sul</v>
    <v>7de24933-1d79-fc85-387b-3ce7947910b6</v>
    <v>pt-BR</v>
    <v>Map</v>
  </rv>
  <rv s="0">
    <v>536870912</v>
    <v>Espírito Santo</v>
    <v>dbc4d679-53e7-49d7-c6b3-88a4ca7f522f</v>
    <v>pt-BR</v>
    <v>Map</v>
  </rv>
  <rv s="0">
    <v>536870912</v>
    <v>Minas Gerais</v>
    <v>974e2066-dee0-aecd-c973-50babb750033</v>
    <v>pt-BR</v>
    <v>Map</v>
  </rv>
  <rv s="0">
    <v>536870912</v>
    <v>Rio de Janeiro</v>
    <v>3f5a22fa-26bd-86f9-0345-3a6206e8aab5</v>
    <v>pt-BR</v>
    <v>Map</v>
  </rv>
  <rv s="0">
    <v>536870912</v>
    <v>São Paulo</v>
    <v>4d56ae2d-1aad-8c4f-dca2-4456acc12f89</v>
    <v>pt-BR</v>
    <v>Map</v>
  </rv>
  <rv s="0">
    <v>536870912</v>
    <v>Paraná</v>
    <v>a33450c4-459a-0682-41ee-635b343dd785</v>
    <v>pt-BR</v>
    <v>Map</v>
  </rv>
  <rv s="0">
    <v>536870912</v>
    <v>Rio Grande do Sul</v>
    <v>9644dbbf-be0c-de9c-a534-3d7ff4801a8b</v>
    <v>pt-BR</v>
    <v>Map</v>
  </rv>
  <rv s="0">
    <v>536870912</v>
    <v>Santa Catarina</v>
    <v>6262969d-76c7-e65f-1be5-668011a93ff0</v>
    <v>pt-BR</v>
    <v>Map</v>
  </rv>
  <rv s="0">
    <v>536870912</v>
    <v>Distrito Federal</v>
    <v>88dfc3b6-8e7a-694d-61b2-96d14f226ec4</v>
    <v>pt-BR</v>
    <v>Map</v>
  </rv>
  <rv s="2">
    <v>3</v>
  </rv>
  <rv s="1">
    <fb>730000</fb>
    <v>25</v>
  </rv>
  <rv s="1">
    <fb>0.12083000183105501</fb>
    <v>32</v>
  </rv>
  <rv s="1">
    <fb>1.73</fb>
    <v>30</v>
  </rv>
  <rv s="1">
    <fb>0.65099999999999991</fb>
    <v>24</v>
  </rv>
  <rv s="1">
    <fb>60</fb>
    <v>28</v>
  </rv>
  <rv s="1">
    <fb>13.923999999999999</fb>
    <v>30</v>
  </rv>
  <rv s="1">
    <fb>0.33924533448829503</fb>
    <v>24</v>
  </rv>
  <rv s="5">
    <v>#VALUE!</v>
    <v>pt-BR</v>
    <v>a828cf41-b938-49fe-7986-4b336618d413</v>
    <v>536870912</v>
    <v>1</v>
    <v>16</v>
    <v>17</v>
    <v>18</v>
    <v>Brazil</v>
    <v>20</v>
    <v>21</v>
    <v>Map</v>
    <v>22</v>
    <v>23</v>
    <v>BR</v>
    <v>1</v>
    <v>2</v>
    <v>3</v>
    <v>4</v>
    <v>5</v>
    <v>BRL</v>
    <v>6</v>
    <v>7</v>
    <v>8</v>
    <v>Brazil, officially the Federative Republic of Brazil, is the largest country in South America. It is also the world's fifth-largest country by area and the seventh-largest by population, with over 213 million people. Brazil is a federation ...</v>
    <v>9</v>
    <v>10</v>
    <v>11</v>
    <v>12</v>
    <v>Hino Nacional Brasileiro</v>
    <v>13</v>
    <v>14</v>
    <v>15</v>
    <v>16</v>
    <v>19</v>
    <v>20</v>
    <v>21</v>
    <v>22</v>
    <v>Brazil</v>
    <v>República Federativa do Brasil</v>
    <v>23</v>
    <v>24</v>
    <v>25</v>
    <v>26</v>
    <v>27</v>
    <v>28</v>
    <v>29</v>
    <v>30</v>
    <v>31</v>
    <v>32</v>
    <v>33</v>
    <v>34</v>
    <v>35</v>
    <v>36</v>
    <v>37</v>
    <v>38</v>
    <v>66</v>
    <v>67</v>
    <v>68</v>
    <v>69</v>
    <v>70</v>
    <v>71</v>
    <v>72</v>
    <v>73</v>
    <v>Brazil</v>
    <v>mdp/vdpid/32</v>
  </rv>
  <rv s="3">
    <v>0</v>
    <v>22</v>
    <v>2</v>
    <v>3</v>
    <v>0</v>
    <v>Image of Brazil</v>
  </rv>
  <rv s="0">
    <v>536870912</v>
    <v>Argentina</v>
    <v>87153d87-9bb0-166a-3d56-613bdc274e1b</v>
    <v>pt-BR</v>
    <v>Map</v>
  </rv>
  <rv s="1">
    <fb>0.53548304349234199</fb>
    <v>24</v>
  </rv>
  <rv s="1">
    <fb>2780400</fb>
    <v>25</v>
  </rv>
  <rv s="1">
    <fb>9.7984058182512504E-2</fb>
    <v>24</v>
  </rv>
  <rv s="0">
    <v>536870912</v>
    <v>Buenos Aires</v>
    <v>857a6814-3fe8-c414-84da-24018be87fce</v>
    <v>pt-BR</v>
    <v>Map</v>
  </rv>
  <rv s="1">
    <fb>39393540000</fb>
    <v>26</v>
  </rv>
  <rv s="1">
    <fb>54</fb>
    <v>27</v>
  </rv>
  <rv s="1">
    <fb>87.722407479689195</fb>
    <v>28</v>
  </rv>
  <rv s="1">
    <fb>3074.70207056563</fb>
    <v>25</v>
  </rv>
  <rv s="1">
    <fb>0.17628076140000001</fb>
    <v>24</v>
  </rv>
  <rv s="1">
    <fb>201347.636</fb>
    <v>25</v>
  </rv>
  <rv s="1">
    <fb>76.52</fb>
    <v>28</v>
  </rv>
  <rv s="2">
    <v>4</v>
  </rv>
  <rv s="2">
    <v>5</v>
  </rv>
  <rv s="3">
    <v>1</v>
    <v>22</v>
    <v>34</v>
    <v>7</v>
    <v>0</v>
    <v>Image of Argentina</v>
  </rv>
  <rv s="1">
    <fb>232.75109166666701</fb>
    <v>29</v>
  </rv>
  <rv s="4">
    <v>https://www.bing.com/search?q=Argentina&amp;form=skydnc</v>
    <v>Aprenda mais com Bing</v>
  </rv>
  <rv s="0">
    <v>805306368</v>
    <v>Javier Milei (Presidente)</v>
    <v>9e292152-d659-8459-891a-e2e34df73a4f</v>
    <v>pt-BR</v>
    <v>Generic</v>
  </rv>
  <rv s="0">
    <v>805306368</v>
    <v>Victoria Villarruel (Vice-presidente)</v>
    <v>c9d496be-e912-ca9e-b72e-cd37e371c69a</v>
    <v>pt-BR</v>
    <v>Generic</v>
  </rv>
  <rv s="2">
    <v>6</v>
  </rv>
  <rv s="1">
    <fb>3.96</fb>
    <v>30</v>
  </rv>
  <rv s="1">
    <fb>8.8000000000000007</fb>
    <v>28</v>
  </rv>
  <rv s="1">
    <fb>449663446954.073</fb>
    <v>26</v>
  </rv>
  <rv s="1">
    <fb>45418098</fb>
    <v>25</v>
  </rv>
  <rv s="1">
    <fb>41339571</fb>
    <v>25</v>
  </rv>
  <rv s="1">
    <fb>0.61301998138427694</fb>
    <v>24</v>
  </rv>
  <rv s="1">
    <fb>1.8000000000000002E-2</fb>
    <v>24</v>
  </rv>
  <rv s="1">
    <fb>0.29899999999999999</fb>
    <v>24</v>
  </rv>
  <rv s="1">
    <fb>0.23199999999999998</fb>
    <v>24</v>
  </rv>
  <rv s="1">
    <fb>9.9000000000000005E-2</fb>
    <v>24</v>
  </rv>
  <rv s="1">
    <fb>0.154</fb>
    <v>24</v>
  </rv>
  <rv s="1">
    <fb>0.05</fb>
    <v>24</v>
  </rv>
  <rv s="1">
    <fb>0.46500000000000002</fb>
    <v>24</v>
  </rv>
  <rv s="1">
    <fb>1.1000000000000001</fb>
    <v>31</v>
  </rv>
  <rv s="1">
    <fb>1.0974146</fb>
    <v>24</v>
  </rv>
  <rv s="1">
    <fb>0.89958519999999997</fb>
    <v>24</v>
  </rv>
  <rv s="1">
    <fb>0.10087499305375699</fb>
    <v>24</v>
  </rv>
  <rv s="1">
    <fb>3.35</fb>
    <v>31</v>
  </rv>
  <rv s="0">
    <v>536870912</v>
    <v>Buenos Aires</v>
    <v>83e02b50-6d03-7c2c-eadf-7346066b2dea</v>
    <v>pt-BR</v>
    <v>Map</v>
  </rv>
  <rv s="0">
    <v>536870912</v>
    <v>Catamarca</v>
    <v>3c1c44fb-1be4-0807-a41a-389b53882281</v>
    <v>pt-BR</v>
    <v>Map</v>
  </rv>
  <rv s="0">
    <v>536870912</v>
    <v>Chaco</v>
    <v>7ba7eceb-7d6e-ca38-3de8-8edff91abe6c</v>
    <v>pt-BR</v>
    <v>Map</v>
  </rv>
  <rv s="0">
    <v>536870912</v>
    <v>Córdova</v>
    <v>ee360e95-eb6e-6500-1854-d0ba2979c8c5</v>
    <v>pt-BR</v>
    <v>Map</v>
  </rv>
  <rv s="0">
    <v>536870912</v>
    <v>Corrientes</v>
    <v>370306e6-e553-7210-5bdd-cba530b5bb5e</v>
    <v>pt-BR</v>
    <v>Map</v>
  </rv>
  <rv s="0">
    <v>536870912</v>
    <v>Entre Ríos</v>
    <v>8f271891-a2e7-4452-b33a-32b209204098</v>
    <v>pt-BR</v>
    <v>Map</v>
  </rv>
  <rv s="0">
    <v>536870912</v>
    <v>Formosa</v>
    <v>2c10e13d-832d-d54f-08b1-364c9870d186</v>
    <v>pt-BR</v>
    <v>Map</v>
  </rv>
  <rv s="0">
    <v>536870912</v>
    <v>Jujuy</v>
    <v>4336eba8-fc73-200e-9d91-4273dd01d498</v>
    <v>pt-BR</v>
    <v>Map</v>
  </rv>
  <rv s="0">
    <v>536870912</v>
    <v>La Pampa</v>
    <v>44de277d-e840-a824-59d9-b6a9740aba03</v>
    <v>pt-BR</v>
    <v>Map</v>
  </rv>
  <rv s="0">
    <v>536870912</v>
    <v>La Rioja</v>
    <v>dac821c4-934d-98a0-3515-ecf294d05f34</v>
    <v>pt-BR</v>
    <v>Map</v>
  </rv>
  <rv s="0">
    <v>536870912</v>
    <v>Mendoza</v>
    <v>67d55d79-bbf5-f1ea-b2b6-9eaf7f8cbf5c</v>
    <v>pt-BR</v>
    <v>Map</v>
  </rv>
  <rv s="0">
    <v>536870912</v>
    <v>Misiones</v>
    <v>b5dd089e-a58d-3344-220d-67d53fbe2b62</v>
    <v>pt-BR</v>
    <v>Map</v>
  </rv>
  <rv s="0">
    <v>536870912</v>
    <v>Neuquén</v>
    <v>bf5efd04-a076-eedb-ad38-b133bbf30276</v>
    <v>pt-BR</v>
    <v>Map</v>
  </rv>
  <rv s="0">
    <v>536870912</v>
    <v>Rio Negro</v>
    <v>d2c8f222-11b8-dd86-e0ab-8d14cb406edc</v>
    <v>pt-BR</v>
    <v>Map</v>
  </rv>
  <rv s="0">
    <v>536870912</v>
    <v>Salta</v>
    <v>f6ae2fbd-0520-148c-3526-8bf23d36cb82</v>
    <v>pt-BR</v>
    <v>Map</v>
  </rv>
  <rv s="0">
    <v>536870912</v>
    <v>San Juan</v>
    <v>17fa2e93-239c-11e6-f03e-d1c2f5cce2fe</v>
    <v>pt-BR</v>
    <v>Map</v>
  </rv>
  <rv s="0">
    <v>536870912</v>
    <v>San Luis</v>
    <v>5bdf188c-b213-ac45-dd24-12759c1ef35f</v>
    <v>pt-BR</v>
    <v>Map</v>
  </rv>
  <rv s="0">
    <v>536870912</v>
    <v>Santa Cruz</v>
    <v>33b38460-8bb6-75dd-5a16-ccfffb6378dc</v>
    <v>pt-BR</v>
    <v>Map</v>
  </rv>
  <rv s="0">
    <v>536870912</v>
    <v>Santa Fé</v>
    <v>7e0bc671-7ee3-bfe7-3fbf-0780b251b2f6</v>
    <v>pt-BR</v>
    <v>Map</v>
  </rv>
  <rv s="0">
    <v>536870912</v>
    <v>Santiago del Estero</v>
    <v>ec88ec56-2be0-4304-ab71-391ce9c013de</v>
    <v>pt-BR</v>
    <v>Map</v>
  </rv>
  <rv s="0">
    <v>536870912</v>
    <v>Terra do Fogo, Antártida e Ilhas do Atlântico Sul</v>
    <v>3bb8cbb1-ced9-fc53-1bf4-d1685a3435ea</v>
    <v>pt-BR</v>
    <v>Map</v>
  </rv>
  <rv s="0">
    <v>536870912</v>
    <v>Tucumã</v>
    <v>4f81112c-c69e-b6cc-2acc-73c36fc9a0aa</v>
    <v>pt-BR</v>
    <v>Map</v>
  </rv>
  <rv s="0">
    <v>536870912</v>
    <v>Chubut</v>
    <v>893cfb2e-6128-06e8-d927-6cdee06773f8</v>
    <v>pt-BR</v>
    <v>Map</v>
  </rv>
  <rv s="2">
    <v>7</v>
  </rv>
  <rv s="1">
    <fb>105000</fb>
    <v>25</v>
  </rv>
  <rv s="1">
    <fb>9.7889995574951205E-2</fb>
    <v>32</v>
  </rv>
  <rv s="1">
    <fb>2.2610000000000001</fb>
    <v>30</v>
  </rv>
  <rv s="1">
    <fb>1.0629999999999999</fb>
    <v>24</v>
  </rv>
  <rv s="1">
    <fb>39</fb>
    <v>28</v>
  </rv>
  <rv s="1">
    <fb>17.021000000000001</fb>
    <v>30</v>
  </rv>
  <rv s="1">
    <fb>0.54335712119385104</fb>
    <v>24</v>
  </rv>
  <rv s="5">
    <v>#VALUE!</v>
    <v>pt-BR</v>
    <v>87153d87-9bb0-166a-3d56-613bdc274e1b</v>
    <v>536870912</v>
    <v>1</v>
    <v>37</v>
    <v>17</v>
    <v>18</v>
    <v>Argentina</v>
    <v>20</v>
    <v>21</v>
    <v>Map</v>
    <v>22</v>
    <v>38</v>
    <v>AR</v>
    <v>77</v>
    <v>78</v>
    <v>79</v>
    <v>80</v>
    <v>81</v>
    <v>ARS</v>
    <v>82</v>
    <v>83</v>
    <v>84</v>
    <v>Argentina, officially the Argentine Republic, is a country in the southern cone of South America. It covers an area of 2,780,085 km², making it the second-largest country in South America after Brazil, the fourth-largest country in the Americas, ...</v>
    <v>85</v>
    <v>86</v>
    <v>87</v>
    <v>88</v>
    <v>Himno Nacional Argentino</v>
    <v>89</v>
    <v>90</v>
    <v>91</v>
    <v>92</v>
    <v>95</v>
    <v>80</v>
    <v>96</v>
    <v>97</v>
    <v>Argentina</v>
    <v>República Argentina</v>
    <v>98</v>
    <v>99</v>
    <v>100</v>
    <v>101</v>
    <v>102</v>
    <v>103</v>
    <v>104</v>
    <v>105</v>
    <v>106</v>
    <v>107</v>
    <v>108</v>
    <v>109</v>
    <v>110</v>
    <v>111</v>
    <v>112</v>
    <v>113</v>
    <v>137</v>
    <v>138</v>
    <v>139</v>
    <v>140</v>
    <v>141</v>
    <v>142</v>
    <v>143</v>
    <v>144</v>
    <v>Argentina</v>
    <v>mdp/vdpid/11</v>
  </rv>
  <rv s="3">
    <v>1</v>
    <v>22</v>
    <v>34</v>
    <v>3</v>
    <v>0</v>
    <v>Image of Argentina</v>
  </rv>
  <rv s="0">
    <v>536870912</v>
    <v>Portugal</v>
    <v>9e917e65-c588-a0b7-f336-52fc6b5b2052</v>
    <v>pt-BR</v>
    <v>Map</v>
  </rv>
  <rv s="1">
    <fb>3.3817841004612497E-3</fb>
    <v>24</v>
  </rv>
  <rv s="1">
    <fb>92225</fb>
    <v>25</v>
  </rv>
  <rv s="1">
    <fb>0.34611423825368903</fb>
    <v>24</v>
  </rv>
  <rv s="0">
    <v>536870912</v>
    <v>Lisboa</v>
    <v>9d006cb5-bff4-48b4-9c83-443eaf418b11</v>
    <v>pt-BR</v>
    <v>Map</v>
  </rv>
  <rv s="1">
    <fb>61933604857.411003</fb>
    <v>26</v>
  </rv>
  <rv s="1">
    <fb>351</fb>
    <v>27</v>
  </rv>
  <rv s="1">
    <fb>77.024122555839</fb>
    <v>28</v>
  </rv>
  <rv s="1">
    <fb>4662.6007998029399</fb>
    <v>25</v>
  </rv>
  <rv s="1">
    <fb>0.27650697260000001</fb>
    <v>24</v>
  </rv>
  <rv s="1">
    <fb>48741.764000000003</fb>
    <v>25</v>
  </rv>
  <rv s="1">
    <fb>81.3243902439024</fb>
    <v>28</v>
  </rv>
  <rv s="2">
    <v>8</v>
  </rv>
  <rv s="3">
    <v>2</v>
    <v>22</v>
    <v>40</v>
    <v>7</v>
    <v>0</v>
    <v>Image of Portugal</v>
  </rv>
  <rv s="1">
    <fb>110.624358614714</fb>
    <v>29</v>
  </rv>
  <rv s="4">
    <v>https://www.bing.com/search?q=Portugal&amp;form=skydnc</v>
    <v>Aprenda mais com Bing</v>
  </rv>
  <rv s="0">
    <v>805306368</v>
    <v>António José Seguro (Presidente)</v>
    <v>24efbbd4-f1fc-b77d-a6f3-f4c2f2f26a7e</v>
    <v>pt-BR</v>
    <v>Generic</v>
  </rv>
  <rv s="0">
    <v>805306368</v>
    <v>Luís Montenegro (Primeiro-ministro)</v>
    <v>5c7007c4-e5b4-49ae-8ea1-4431b1a749e8</v>
    <v>pt-BR</v>
    <v>Generic</v>
  </rv>
  <rv s="0">
    <v>805306368</v>
    <v>José Pedro Aguiar-Branco (Speaker)</v>
    <v>95843627-6eb2-f0c6-fd97-ab9a65bd40b9</v>
    <v>pt-BR</v>
    <v>Generic</v>
  </rv>
  <rv s="2">
    <v>9</v>
  </rv>
  <rv s="1">
    <fb>5.1239999999999997</fb>
    <v>30</v>
  </rv>
  <rv s="1">
    <fb>3.1</fb>
    <v>28</v>
  </rv>
  <rv s="1">
    <fb>237686075634.698</fb>
    <v>26</v>
  </rv>
  <rv s="1">
    <fb>10194277</fb>
    <v>25</v>
  </rv>
  <rv s="1">
    <fb>6753579</fb>
    <v>25</v>
  </rv>
  <rv s="1">
    <fb>0.58811000823974602</fb>
    <v>24</v>
  </rv>
  <rv s="1">
    <fb>2.7000000000000003E-2</fb>
    <v>24</v>
  </rv>
  <rv s="1">
    <fb>0.26700000000000002</fb>
    <v>24</v>
  </rv>
  <rv s="1">
    <fb>0.221</fb>
    <v>24</v>
  </rv>
  <rv s="1">
    <fb>0.124</fb>
    <v>24</v>
  </rv>
  <rv s="1">
    <fb>0.16500000000000001</fb>
    <v>24</v>
  </rv>
  <rv s="1">
    <fb>7.400000000000001E-2</fb>
    <v>24</v>
  </rv>
  <rv s="1">
    <fb>0.41600000000000004</fb>
    <v>24</v>
  </rv>
  <rv s="1">
    <fb>1.54</fb>
    <v>31</v>
  </rv>
  <rv s="1">
    <fb>1.0618313000000001</fb>
    <v>24</v>
  </rv>
  <rv s="1">
    <fb>0.63935809999999993</fb>
    <v>24</v>
  </rv>
  <rv s="1">
    <fb>0.227551770073532</fb>
    <v>24</v>
  </rv>
  <rv s="1">
    <fb>3.78</fb>
    <v>31</v>
  </rv>
  <rv s="0">
    <v>536870912</v>
    <v>Distrito de Lisboa</v>
    <v>9aabe4c9-f2ff-745a-22b7-741589d147d3</v>
    <v>pt-BR</v>
    <v>Map</v>
  </rv>
  <rv s="0">
    <v>536870912</v>
    <v>Distrito de Leiria</v>
    <v>1e45c3ae-38a6-3ec3-3187-2e72c0cad027</v>
    <v>pt-BR</v>
    <v>Map</v>
  </rv>
  <rv s="0">
    <v>536870912</v>
    <v>Distrito de Santarém</v>
    <v>31ed3d3b-1669-48e6-9f45-7dff6e48107b</v>
    <v>pt-BR</v>
    <v>Map</v>
  </rv>
  <rv s="0">
    <v>536870912</v>
    <v>Distrito de Setúbal</v>
    <v>2443fa57-ba7a-ca6f-6988-b7bb998c209d</v>
    <v>pt-BR</v>
    <v>Map</v>
  </rv>
  <rv s="0">
    <v>536870912</v>
    <v>Distrito de Beja</v>
    <v>57132a4f-ab86-49cc-9a10-eea78fe194c6</v>
    <v>pt-BR</v>
    <v>Map</v>
  </rv>
  <rv s="0">
    <v>536870912</v>
    <v>Distrito de Faro</v>
    <v>0f961e40-6a20-4ce7-9c8b-3c9484a39b31</v>
    <v>pt-BR</v>
    <v>Map</v>
  </rv>
  <rv s="0">
    <v>536870912</v>
    <v>Distrito de Évora</v>
    <v>9f2c1154-ba9c-42db-b07d-6ac93b22f847</v>
    <v>pt-BR</v>
    <v>Map</v>
  </rv>
  <rv s="0">
    <v>536870912</v>
    <v>Distrito de Portalegre</v>
    <v>0509a564-38fa-4a46-85bd-79ea9cfb105b</v>
    <v>pt-BR</v>
    <v>Map</v>
  </rv>
  <rv s="0">
    <v>536870912</v>
    <v>Distrito de Castelo Branco</v>
    <v>fb4769a8-e791-44cf-b415-49b116c2d850</v>
    <v>pt-BR</v>
    <v>Map</v>
  </rv>
  <rv s="0">
    <v>536870912</v>
    <v>Guarda</v>
    <v>a6ab4e89-16d3-c736-2651-53af26e5c9fb</v>
    <v>pt-BR</v>
    <v>Map</v>
  </rv>
  <rv s="0">
    <v>536870912</v>
    <v>Distrito de Coimbra</v>
    <v>eaabde58-df44-d3f2-fcaf-2eb0b0c892ca</v>
    <v>pt-BR</v>
    <v>Map</v>
  </rv>
  <rv s="0">
    <v>536870912</v>
    <v>Distrito de Aveiro</v>
    <v>2448fddc-7ab4-4061-c990-7ee0e882b83f</v>
    <v>pt-BR</v>
    <v>Map</v>
  </rv>
  <rv s="0">
    <v>536870912</v>
    <v>Distrito de Viseu</v>
    <v>4af2c91e-a2d9-03c8-4bcc-d0e611b7a836</v>
    <v>pt-BR</v>
    <v>Map</v>
  </rv>
  <rv s="0">
    <v>536870912</v>
    <v>Distrito de Bragança</v>
    <v>511e9c5a-156c-4018-b440-d68a04fdd311</v>
    <v>pt-BR</v>
    <v>Map</v>
  </rv>
  <rv s="0">
    <v>536870912</v>
    <v>Distrito de Vila Real</v>
    <v>16491095-1ede-45bc-b4f9-d0b768b902b4</v>
    <v>pt-BR</v>
    <v>Map</v>
  </rv>
  <rv s="0">
    <v>536870912</v>
    <v>Distrito do Porto</v>
    <v>ab024f06-dfa0-f5d5-2ace-323a59e1c03f</v>
    <v>pt-BR</v>
    <v>Map</v>
  </rv>
  <rv s="0">
    <v>536870912</v>
    <v>Distrito de Braga</v>
    <v>bf9b0bf5-80ec-1d9e-e2bb-f15cfff91b3f</v>
    <v>pt-BR</v>
    <v>Map</v>
  </rv>
  <rv s="0">
    <v>536870912</v>
    <v>Distrito de Viana do Castelo</v>
    <v>e82c5675-25b8-35f8-dd22-1d162bbc45bd</v>
    <v>pt-BR</v>
    <v>Map</v>
  </rv>
  <rv s="0">
    <v>536870912</v>
    <v>Madeira</v>
    <v>fd1c338d-a716-e095-102a-5ac3106ddd68</v>
    <v>pt-BR</v>
    <v>Map</v>
  </rv>
  <rv s="0">
    <v>536870912</v>
    <v>Açores</v>
    <v>162558d5-afd4-4b00-9d00-54ad16880f8b</v>
    <v>pt-BR</v>
    <v>Map</v>
  </rv>
  <rv s="2">
    <v>10</v>
  </rv>
  <rv s="1">
    <fb>52000</fb>
    <v>25</v>
  </rv>
  <rv s="1">
    <fb>6.33400011062622E-2</fb>
    <v>32</v>
  </rv>
  <rv s="1">
    <fb>1.38</fb>
    <v>30</v>
  </rv>
  <rv s="1">
    <fb>0.39799999999999996</fb>
    <v>24</v>
  </rv>
  <rv s="1">
    <fb>8</fb>
    <v>28</v>
  </rv>
  <rv s="1">
    <fb>8.5</fb>
    <v>30</v>
  </rv>
  <rv s="1">
    <fb>0.39452940398253294</fb>
    <v>24</v>
  </rv>
  <rv s="5">
    <v>#VALUE!</v>
    <v>pt-BR</v>
    <v>9e917e65-c588-a0b7-f336-52fc6b5b2052</v>
    <v>536870912</v>
    <v>1</v>
    <v>43</v>
    <v>17</v>
    <v>18</v>
    <v>Portugal</v>
    <v>20</v>
    <v>21</v>
    <v>Map</v>
    <v>22</v>
    <v>44</v>
    <v>PT</v>
    <v>148</v>
    <v>149</v>
    <v>150</v>
    <v>151</v>
    <v>152</v>
    <v>EUR</v>
    <v>153</v>
    <v>154</v>
    <v>155</v>
    <v>Portugal, officially the Portuguese Republic, is a country in Southwestern Europe. It is a unitary republic made up by mainland Portugal and two autonomous regions, with Lisbon as its capital and largest city. It has a population of over 10.7 ...</v>
    <v>156</v>
    <v>157</v>
    <v>158</v>
    <v>159</v>
    <v>A Portuguesa</v>
    <v>13</v>
    <v>160</v>
    <v>161</v>
    <v>162</v>
    <v>166</v>
    <v>151</v>
    <v>167</v>
    <v>168</v>
    <v>Portugal</v>
    <v>Portugalská republika</v>
    <v>169</v>
    <v>170</v>
    <v>171</v>
    <v>172</v>
    <v>173</v>
    <v>174</v>
    <v>175</v>
    <v>176</v>
    <v>177</v>
    <v>178</v>
    <v>179</v>
    <v>180</v>
    <v>181</v>
    <v>182</v>
    <v>183</v>
    <v>184</v>
    <v>205</v>
    <v>206</v>
    <v>207</v>
    <v>208</v>
    <v>209</v>
    <v>210</v>
    <v>211</v>
    <v>212</v>
    <v>Portugal</v>
    <v>mdp/vdpid/193</v>
  </rv>
  <rv s="3">
    <v>2</v>
    <v>22</v>
    <v>40</v>
    <v>3</v>
    <v>0</v>
    <v>Image of Portugal</v>
  </rv>
  <rv s="0">
    <v>536870912</v>
    <v>Ghana</v>
    <v>4caa1a94-3f55-f5a7-8b85-5abd256a54f1</v>
    <v>pt-BR</v>
    <v>Map</v>
  </rv>
  <rv s="1">
    <fb>7.17592284708857E-2</fb>
    <v>24</v>
  </rv>
  <rv s="1">
    <fb>238535</fb>
    <v>25</v>
  </rv>
  <rv s="1">
    <fb>0.41159358313373501</fb>
    <v>24</v>
  </rv>
  <rv s="0">
    <v>536870912</v>
    <v>Acra</v>
    <v>7dea44eb-65d3-ca6b-c353-eac951cbdc50</v>
    <v>pt-BR</v>
    <v>Map</v>
  </rv>
  <rv s="1">
    <fb>3098510000</fb>
    <v>26</v>
  </rv>
  <rv s="1">
    <fb>233</fb>
    <v>27</v>
  </rv>
  <rv s="1">
    <fb>52.543060129263097</fb>
    <v>28</v>
  </rv>
  <rv s="1">
    <fb>351.301578961752</fb>
    <v>25</v>
  </rv>
  <rv s="1">
    <fb>0.36105228150000002</fb>
    <v>24</v>
  </rv>
  <rv s="1">
    <fb>16670.182000000001</fb>
    <v>25</v>
  </rv>
  <rv s="1">
    <fb>63.78</fb>
    <v>28</v>
  </rv>
  <rv s="2">
    <v>11</v>
  </rv>
  <rv s="2">
    <v>12</v>
  </rv>
  <rv s="3">
    <v>3</v>
    <v>22</v>
    <v>46</v>
    <v>7</v>
    <v>0</v>
    <v>Image of Ghana</v>
  </rv>
  <rv s="1">
    <fb>268.36084800436601</fb>
    <v>29</v>
  </rv>
  <rv s="4">
    <v>https://www.bing.com/search?q=Gana&amp;form=skydnc</v>
    <v>Aprenda mais com Bing</v>
  </rv>
  <rv s="0">
    <v>805306368</v>
    <v>John Dramani Mahama (Presidente)</v>
    <v>6d379b32-0cd8-9157-0ec8-883c7cf48d1f</v>
    <v>pt-BR</v>
    <v>Generic</v>
  </rv>
  <rv s="0">
    <v>805306368</v>
    <v>Jane Naana Opoku-Agyemang (Vice-presidente)</v>
    <v>cdb58c49-a2ad-b3d3-44d6-f5f4a29f565d</v>
    <v>pt-BR</v>
    <v>Generic</v>
  </rv>
  <rv s="0">
    <v>805306368</v>
    <v>Paul Baffoe-Bonnie (Chief justice)</v>
    <v>9f668e46-ba9e-440a-5c88-3d11fcab2fc6</v>
    <v>pt-BR</v>
    <v>Generic</v>
  </rv>
  <rv s="0">
    <v>805306368</v>
    <v>Paul Baffoe-Bonnie (Chefe de Justiça)</v>
    <v>9f668e46-ba9e-440a-5c88-3d11fcab2fc6</v>
    <v>pt-BR</v>
    <v>Generic</v>
  </rv>
  <rv s="2">
    <v>13</v>
  </rv>
  <rv s="1">
    <fb>0.13589999999999999</fb>
    <v>30</v>
  </rv>
  <rv s="1">
    <fb>34.9</fb>
    <v>28</v>
  </rv>
  <rv s="1">
    <fb>66983634223.943001</fb>
    <v>26</v>
  </rv>
  <rv s="1">
    <fb>35336133</fb>
    <v>25</v>
  </rv>
  <rv s="1">
    <fb>17249054</fb>
    <v>25</v>
  </rv>
  <rv s="1">
    <fb>0.67797996520996096</fb>
    <v>24</v>
  </rv>
  <rv s="1">
    <fb>1.6E-2</fb>
    <v>24</v>
  </rv>
  <rv s="1">
    <fb>0.32200000000000001</fb>
    <v>24</v>
  </rv>
  <rv s="1">
    <fb>0.223</fb>
    <v>24</v>
  </rv>
  <rv s="1">
    <fb>9.6000000000000002E-2</fb>
    <v>24</v>
  </rv>
  <rv s="1">
    <fb>0.14800000000000002</fb>
    <v>24</v>
  </rv>
  <rv s="1">
    <fb>4.7E-2</fb>
    <v>24</v>
  </rv>
  <rv s="1">
    <fb>0.48599999999999999</fb>
    <v>24</v>
  </rv>
  <rv s="1">
    <fb>0.92</fb>
    <v>31</v>
  </rv>
  <rv s="1">
    <fb>1.0484141</fb>
    <v>24</v>
  </rv>
  <rv s="1">
    <fb>0.15691769999999999</fb>
    <v>24</v>
  </rv>
  <rv s="1">
    <fb>0.12569754463437299</fb>
    <v>24</v>
  </rv>
  <rv s="1">
    <fb>0.27</fb>
    <v>31</v>
  </rv>
  <rv s="0">
    <v>536870912</v>
    <v>Axânti</v>
    <v>03a4bbc8-218a-4560-dc76-f52b742a183e</v>
    <v>pt-BR</v>
    <v>Map</v>
  </rv>
  <rv s="0">
    <v>536870912</v>
    <v>Central</v>
    <v>04a9f5cc-56ee-cdc9-3b25-34ae0f54a835</v>
    <v>pt-BR</v>
    <v>Map</v>
  </rv>
  <rv s="0">
    <v>536870912</v>
    <v>Região Oriental</v>
    <v>8dd7c62c-e599-708a-4b1a-72c8a568a856</v>
    <v>pt-BR</v>
    <v>Map</v>
  </rv>
  <rv s="0">
    <v>536870912</v>
    <v>Grande Acra</v>
    <v>91f1ae15-d54e-29be-d169-d4548c5bad59</v>
    <v>pt-BR</v>
    <v>Map</v>
  </rv>
  <rv s="0">
    <v>536870912</v>
    <v>Região Norte</v>
    <v>281b9874-7787-6cbe-36fc-6f1e4b5edeed</v>
    <v>pt-BR</v>
    <v>Map</v>
  </rv>
  <rv s="0">
    <v>536870912</v>
    <v>Alto Oriental</v>
    <v>a536de11-1bf2-b814-79bf-3bfcd2eb23da</v>
    <v>pt-BR</v>
    <v>Map</v>
  </rv>
  <rv s="0">
    <v>536870912</v>
    <v>Alto Ocidental</v>
    <v>decfccd3-cb14-9a30-7a4f-c9f5225315dc</v>
    <v>pt-BR</v>
    <v>Map</v>
  </rv>
  <rv s="0">
    <v>536870912</v>
    <v>Volta</v>
    <v>08e5e28e-0235-8c89-7ffb-ba81717c530a</v>
    <v>pt-BR</v>
    <v>Map</v>
  </rv>
  <rv s="0">
    <v>536870912</v>
    <v>Ocidental</v>
    <v>9137e271-300a-d288-dc27-09a2e8930911</v>
    <v>pt-BR</v>
    <v>Map</v>
  </rv>
  <rv s="2">
    <v>14</v>
  </rv>
  <rv s="1">
    <fb>16000</fb>
    <v>25</v>
  </rv>
  <rv s="1">
    <fb>4.3309998512268105E-2</fb>
    <v>32</v>
  </rv>
  <rv s="1">
    <fb>3.87</fb>
    <v>30</v>
  </rv>
  <rv s="1">
    <fb>0.55399999999999994</fb>
    <v>24</v>
  </rv>
  <rv s="1">
    <fb>308</fb>
    <v>28</v>
  </rv>
  <rv s="1">
    <fb>29.407</fb>
    <v>30</v>
  </rv>
  <rv s="1">
    <fb>0.68998857343763698</fb>
    <v>24</v>
  </rv>
  <rv s="5">
    <v>#VALUE!</v>
    <v>pt-BR</v>
    <v>4caa1a94-3f55-f5a7-8b85-5abd256a54f1</v>
    <v>536870912</v>
    <v>1</v>
    <v>49</v>
    <v>17</v>
    <v>18</v>
    <v>Ghana</v>
    <v>20</v>
    <v>21</v>
    <v>Map</v>
    <v>22</v>
    <v>50</v>
    <v>GH</v>
    <v>216</v>
    <v>217</v>
    <v>218</v>
    <v>219</v>
    <v>220</v>
    <v>GHS</v>
    <v>221</v>
    <v>222</v>
    <v>223</v>
    <v>Ghana, officially the Republic of Ghana, is a country in West Africa. It is situated with the Gulf of Guinea and the Atlantic Ocean to the south, and shares borders with Côte d'Ivoire to the west, Burkina Faso to the north, and Togo to the east. ...</v>
    <v>224</v>
    <v>225</v>
    <v>226</v>
    <v>227</v>
    <v>God Bless Our Homeland Ghana</v>
    <v>228</v>
    <v>229</v>
    <v>230</v>
    <v>231</v>
    <v>236</v>
    <v>219</v>
    <v>237</v>
    <v>238</v>
    <v>Ghana</v>
    <v>Ghana</v>
    <v>239</v>
    <v>240</v>
    <v>241</v>
    <v>242</v>
    <v>243</v>
    <v>244</v>
    <v>245</v>
    <v>246</v>
    <v>247</v>
    <v>248</v>
    <v>249</v>
    <v>250</v>
    <v>251</v>
    <v>252</v>
    <v>253</v>
    <v>254</v>
    <v>264</v>
    <v>265</v>
    <v>266</v>
    <v>267</v>
    <v>268</v>
    <v>269</v>
    <v>270</v>
    <v>271</v>
    <v>Ghana</v>
    <v>mdp/vdpid/89</v>
  </rv>
  <rv s="3">
    <v>3</v>
    <v>22</v>
    <v>46</v>
    <v>3</v>
    <v>0</v>
    <v>Image of Ghana</v>
  </rv>
  <rv s="0">
    <v>536870912</v>
    <v>France</v>
    <v>c7bfe2de-4f82-e23c-ae42-8544b5b5c0ea</v>
    <v>pt-BR</v>
    <v>Map</v>
  </rv>
  <rv s="1">
    <fb>1.1082549228829199E-2</fb>
    <v>24</v>
  </rv>
  <rv s="1">
    <fb>643801</fb>
    <v>25</v>
  </rv>
  <rv s="1">
    <fb>0.31233278442262596</fb>
    <v>24</v>
  </rv>
  <rv s="0">
    <v>536870912</v>
    <v>Paris</v>
    <v>85584d24-2116-5b98-89f9-5714db931ac6</v>
    <v>pt-BR</v>
    <v>Map</v>
  </rv>
  <rv s="1">
    <fb>2365950236659.3599</fb>
    <v>26</v>
  </rv>
  <rv s="1">
    <fb>33</fb>
    <v>27</v>
  </rv>
  <rv s="1">
    <fb>46.487970872236403</fb>
    <v>28</v>
  </rv>
  <rv s="1">
    <fb>6939.5214736692897</fb>
    <v>25</v>
  </rv>
  <rv s="1">
    <fb>6.7968269799999995E-2</fb>
    <v>24</v>
  </rv>
  <rv s="1">
    <fb>303275.56800000003</fb>
    <v>25</v>
  </rv>
  <rv s="1">
    <fb>82.526829268292701</fb>
    <v>28</v>
  </rv>
  <rv s="2">
    <v>15</v>
  </rv>
  <rv s="2">
    <v>16</v>
  </rv>
  <rv s="3">
    <v>4</v>
    <v>22</v>
    <v>52</v>
    <v>7</v>
    <v>0</v>
    <v>Image of France</v>
  </rv>
  <rv s="1">
    <fb>110.04856675289</fb>
    <v>29</v>
  </rv>
  <rv s="4">
    <v>https://www.bing.com/search?q=Fran%c3%a7a&amp;form=skydnc</v>
    <v>Aprenda mais com Bing</v>
  </rv>
  <rv s="0">
    <v>805306368</v>
    <v>Emmanuel Macron (Presidente)</v>
    <v>35be5a56-7a78-6352-b158-60da8f84c858</v>
    <v>pt-BR</v>
    <v>Generic</v>
  </rv>
  <rv s="0">
    <v>805306368</v>
    <v>Sébastien Lecornu (Primeiro-ministro)</v>
    <v>e47a48ba-584f-b611-b461-996ec493e56d</v>
    <v>pt-BR</v>
    <v>Generic</v>
  </rv>
  <rv s="2">
    <v>17</v>
  </rv>
  <rv s="1">
    <fb>3.2671999999999999</fb>
    <v>30</v>
  </rv>
  <rv s="1">
    <fb>3.4</fb>
    <v>28</v>
  </rv>
  <rv s="1">
    <fb>2715518274227.4502</fb>
    <v>26</v>
  </rv>
  <rv s="1">
    <fb>68512806</fb>
    <v>25</v>
  </rv>
  <rv s="1">
    <fb>54123364</fb>
    <v>25</v>
  </rv>
  <rv s="1">
    <fb>0.55125999450683605</fb>
    <v>24</v>
  </rv>
  <rv s="1">
    <fb>3.2000000000000001E-2</fb>
    <v>24</v>
  </rv>
  <rv s="1">
    <fb>0.25800000000000001</fb>
    <v>24</v>
  </rv>
  <rv s="1">
    <fb>0.21899999999999997</fb>
    <v>24</v>
  </rv>
  <rv s="1">
    <fb>0.13</fb>
    <v>24</v>
  </rv>
  <rv s="1">
    <fb>0.16899999999999998</fb>
    <v>24</v>
  </rv>
  <rv s="1">
    <fb>8.1000000000000003E-2</fb>
    <v>24</v>
  </rv>
  <rv s="1">
    <fb>0.4</fb>
    <v>24</v>
  </rv>
  <rv s="1">
    <fb>1.39</fb>
    <v>31</v>
  </rv>
  <rv s="1">
    <fb>1.0251076000000001</fb>
    <v>24</v>
  </rv>
  <rv s="1">
    <fb>0.65629000000000004</fb>
    <v>24</v>
  </rv>
  <rv s="1">
    <fb>0.24229980509910898</fb>
    <v>24</v>
  </rv>
  <rv s="1">
    <fb>11.16</fb>
    <v>31</v>
  </rv>
  <rv s="0">
    <v>536870912</v>
    <v>Bretanha</v>
    <v>809fb739-638d-2499-95bd-c8e5b10153ee</v>
    <v>pt-BR</v>
    <v>Map</v>
  </rv>
  <rv s="0">
    <v>536870912</v>
    <v>Centro-Vale do Loire</v>
    <v>6aafd8c4-aba3-0388-62a3-d302e77f40c4</v>
    <v>pt-BR</v>
    <v>Map</v>
  </rv>
  <rv s="0">
    <v>536870912</v>
    <v>Córsega</v>
    <v>7dae6ff4-03ba-2162-da4b-d4cf544ad43f</v>
    <v>pt-BR</v>
    <v>Map</v>
  </rv>
  <rv s="0">
    <v>536870912</v>
    <v>Ilha de França</v>
    <v>ba200862-fc37-6d22-3434-c6e709faa507</v>
    <v>pt-BR</v>
    <v>Map</v>
  </rv>
  <rv s="0">
    <v>536870912</v>
    <v>País do Loire</v>
    <v>a6129a88-a4cd-2b75-1a35-f5d0639f17ae</v>
    <v>pt-BR</v>
    <v>Map</v>
  </rv>
  <rv s="0">
    <v>536870912</v>
    <v>Provença-Alpes-Costa Azul</v>
    <v>66cd1ae3-f633-45f9-93bd-73ca67bffb25</v>
    <v>pt-BR</v>
    <v>Map</v>
  </rv>
  <rv s="0">
    <v>536870912</v>
    <v>Guadalupe</v>
    <v>56b80aaa-d840-1a73-13ba-70eb9b61a642</v>
    <v>pt-BR</v>
    <v>Map</v>
  </rv>
  <rv s="0">
    <v>536870912</v>
    <v>Guiana Francesa</v>
    <v>328feb88-20d1-8674-1574-3ce8cc0bc9e9</v>
    <v>pt-BR</v>
    <v>Map</v>
  </rv>
  <rv s="0">
    <v>536870912</v>
    <v>Martinica</v>
    <v>f245adef-ee09-9352-e265-2a287e5eadbe</v>
    <v>pt-BR</v>
    <v>Map</v>
  </rv>
  <rv s="0">
    <v>536870912</v>
    <v>Mayotte</v>
    <v>545cc8bc-c211-076d-ee26-d2ff955eb394</v>
    <v>pt-BR</v>
    <v>Map</v>
  </rv>
  <rv s="0">
    <v>536870912</v>
    <v>Reunião</v>
    <v>7d1fa0b0-e3d7-d903-d64d-489c03fd0a75</v>
    <v>pt-BR</v>
    <v>Map</v>
  </rv>
  <rv s="0">
    <v>536870912</v>
    <v>Polinésia Francesa</v>
    <v>340e15d5-6b74-8497-bbfa-4c1f323f5483</v>
    <v>pt-BR</v>
    <v>Map</v>
  </rv>
  <rv s="0">
    <v>536870912</v>
    <v>Terras Austrais e Antárticas Francesas</v>
    <v>b9d52319-44ee-bf16-d95f-72397f26ce4a</v>
    <v>pt-BR</v>
    <v>Map</v>
  </rv>
  <rv s="0">
    <v>536870912</v>
    <v>Nova Caledónia</v>
    <v>25b2aeab-b390-d01e-1f7f-90be767bd899</v>
    <v>pt-BR</v>
    <v>Map</v>
  </rv>
  <rv s="0">
    <v>536870912</v>
    <v>São Bartolomeu</v>
    <v>5c5081a9-306e-4f05-73a2-32b95a4b8600</v>
    <v>pt-BR</v>
    <v>Map</v>
  </rv>
  <rv s="0">
    <v>536870912</v>
    <v>São Martinho</v>
    <v>281a8fb2-1b63-4320-5d31-8f0fb46c4f1a</v>
    <v>pt-BR</v>
    <v>Map</v>
  </rv>
  <rv s="0">
    <v>536870912</v>
    <v>São Pedro e Miquelão</v>
    <v>aa096cf4-a54e-cd44-7204-c28310ca40f4</v>
    <v>pt-BR</v>
    <v>Map</v>
  </rv>
  <rv s="0">
    <v>536870912</v>
    <v>Wallis e Futuna</v>
    <v>db8aa235-58e4-9e3d-8799-6839f3d35025</v>
    <v>pt-BR</v>
    <v>Map</v>
  </rv>
  <rv s="0">
    <v>536870912</v>
    <v>Grande Leste</v>
    <v>e2f60e84-1701-6d84-e960-ba87138e3631</v>
    <v>pt-BR</v>
    <v>Map</v>
  </rv>
  <rv s="0">
    <v>536870912</v>
    <v>Nova Aquitânia</v>
    <v>7955f423-af31-d2e0-f045-b14668178865</v>
    <v>pt-BR</v>
    <v>Map</v>
  </rv>
  <rv s="0">
    <v>536870912</v>
    <v>Auvérnia-Ródano-Alpes</v>
    <v>b53940d0-b739-faf5-78d1-93f189f878c9</v>
    <v>pt-BR</v>
    <v>Map</v>
  </rv>
  <rv s="0">
    <v>536870912</v>
    <v>Borgonha-Franco-Condado</v>
    <v>4bc8dff1-8d72-5341-f405-63c7be8c6672</v>
    <v>pt-BR</v>
    <v>Map</v>
  </rv>
  <rv s="0">
    <v>536870912</v>
    <v>Occitânia</v>
    <v>5105d172-dc70-689f-09ab-4163a747508a</v>
    <v>pt-BR</v>
    <v>Map</v>
  </rv>
  <rv s="0">
    <v>536870912</v>
    <v>Altos da França</v>
    <v>4eb2d0b0-8845-48d0-9343-9ba3e7fe81a0</v>
    <v>pt-BR</v>
    <v>Map</v>
  </rv>
  <rv s="0">
    <v>536870912</v>
    <v>Ilha de Clipperton</v>
    <v>15fb63fc-f501-7360-7d44-f26d1501209e</v>
    <v>pt-BR</v>
    <v>Map</v>
  </rv>
  <rv s="2">
    <v>18</v>
  </rv>
  <rv s="1">
    <fb>307000</fb>
    <v>25</v>
  </rv>
  <rv s="1">
    <fb>8.4270000457763714E-2</fb>
    <v>32</v>
  </rv>
  <rv s="1">
    <fb>1.88</fb>
    <v>30</v>
  </rv>
  <rv s="1">
    <fb>0.60699999999999998</fb>
    <v>24</v>
  </rv>
  <rv s="1">
    <fb>11.3</fb>
    <v>30</v>
  </rv>
  <rv s="1">
    <fb>0.524475441661716</fb>
    <v>24</v>
  </rv>
  <rv s="5">
    <v>#VALUE!</v>
    <v>pt-BR</v>
    <v>c7bfe2de-4f82-e23c-ae42-8544b5b5c0ea</v>
    <v>536870912</v>
    <v>1</v>
    <v>55</v>
    <v>17</v>
    <v>18</v>
    <v>France</v>
    <v>20</v>
    <v>21</v>
    <v>Map</v>
    <v>22</v>
    <v>56</v>
    <v>FR</v>
    <v>275</v>
    <v>276</v>
    <v>277</v>
    <v>278</v>
    <v>279</v>
    <v>EUR</v>
    <v>280</v>
    <v>281</v>
    <v>282</v>
    <v>France, officially the French Republic, is a country primarily located in Western Europe. Its overseas regions and territories include French Guiana in South America, Saint Pierre and Miquelon in the North Atlantic, the French West Indies, and ...</v>
    <v>283</v>
    <v>284</v>
    <v>285</v>
    <v>286</v>
    <v>La Marseillaise</v>
    <v>287</v>
    <v>288</v>
    <v>289</v>
    <v>290</v>
    <v>293</v>
    <v>278</v>
    <v>294</v>
    <v>295</v>
    <v>France</v>
    <v>République française</v>
    <v>296</v>
    <v>297</v>
    <v>298</v>
    <v>299</v>
    <v>300</v>
    <v>301</v>
    <v>302</v>
    <v>303</v>
    <v>304</v>
    <v>305</v>
    <v>306</v>
    <v>307</v>
    <v>308</v>
    <v>309</v>
    <v>310</v>
    <v>311</v>
    <v>337</v>
    <v>338</v>
    <v>339</v>
    <v>340</v>
    <v>341</v>
    <v>210</v>
    <v>342</v>
    <v>343</v>
    <v>France</v>
    <v>mdp/vdpid/84</v>
  </rv>
  <rv s="3">
    <v>4</v>
    <v>22</v>
    <v>52</v>
    <v>3</v>
    <v>0</v>
    <v>Image of France</v>
  </rv>
  <rv s="0">
    <v>536870912</v>
    <v>Norway</v>
    <v>51b69cb2-1924-e989-590b-712a7070a30f</v>
    <v>pt-BR</v>
    <v>Map</v>
  </rv>
  <rv s="1">
    <fb>2.1677300330540498E-2</fb>
    <v>24</v>
  </rv>
  <rv s="1">
    <fb>385207</fb>
    <v>25</v>
  </rv>
  <rv s="1">
    <fb>0.331778599014523</fb>
    <v>24</v>
  </rv>
  <rv s="0">
    <v>536870912</v>
    <v>Oslo</v>
    <v>962ca6d0-04b2-b258-d6d5-ec31f6cc1d83</v>
    <v>pt-BR</v>
    <v>Map</v>
  </rv>
  <rv s="1">
    <fb>295548630000</fb>
    <v>26</v>
  </rv>
  <rv s="1">
    <fb>47</fb>
    <v>27</v>
  </rv>
  <rv s="1">
    <fb>56.951628649981103</fb>
    <v>28</v>
  </rv>
  <rv s="1">
    <fb>22999.934595128299</fb>
    <v>25</v>
  </rv>
  <rv s="1">
    <fb>0.14272576140000001</fb>
    <v>24</v>
  </rv>
  <rv s="1">
    <fb>41022.728999999999</fb>
    <v>25</v>
  </rv>
  <rv s="1">
    <fb>82.758536585365903</fb>
    <v>28</v>
  </rv>
  <rv s="2">
    <v>19</v>
  </rv>
  <rv s="2">
    <v>20</v>
  </rv>
  <rv s="3">
    <v>5</v>
    <v>22</v>
    <v>58</v>
    <v>7</v>
    <v>0</v>
    <v>Image of Norway</v>
  </rv>
  <rv s="1">
    <fb>120.269658854402</fb>
    <v>29</v>
  </rv>
  <rv s="4">
    <v>https://www.bing.com/search?q=Noruega&amp;form=skydnc</v>
    <v>Aprenda mais com Bing</v>
  </rv>
  <rv s="0">
    <v>805306368</v>
    <v>Haroldo V da Noruega (Monarca)</v>
    <v>d501cea3-4c13-36b0-0641-e2d6452188bc</v>
    <v>pt-BR</v>
    <v>Generic</v>
  </rv>
  <rv s="0">
    <v>805306368</v>
    <v>Jonas Gahr Støre (Primeiro-ministro)</v>
    <v>22a97b4b-1d69-8ed3-e2ba-75ec00cac6ad</v>
    <v>pt-BR</v>
    <v>Generic</v>
  </rv>
  <rv s="0">
    <v>805306368</v>
    <v>Toril Marie Øie (Chief justice)</v>
    <v>ef71223b-60e9-6b7e-eed9-1343c144235c</v>
    <v>pt-BR</v>
    <v>Generic</v>
  </rv>
  <rv s="0">
    <v>805306368</v>
    <v>Toril Marie Øie (Chefe de Justiça)</v>
    <v>ef71223b-60e9-6b7e-eed9-1343c144235c</v>
    <v>pt-BR</v>
    <v>Generic</v>
  </rv>
  <rv s="2">
    <v>21</v>
  </rv>
  <rv s="1">
    <fb>2.9163999999999999</fb>
    <v>30</v>
  </rv>
  <rv s="1">
    <fb>2.1</fb>
    <v>28</v>
  </rv>
  <rv s="1">
    <fb>403336363636.36401</fb>
    <v>26</v>
  </rv>
  <rv s="1">
    <fb>5541823</fb>
    <v>25</v>
  </rv>
  <rv s="1">
    <fb>4418218</fb>
    <v>25</v>
  </rv>
  <rv s="1">
    <fb>0.63804000854492204</fb>
    <v>24</v>
  </rv>
  <rv s="1">
    <fb>3.3000000000000002E-2</fb>
    <v>24</v>
  </rv>
  <rv s="1">
    <fb>0.21600000000000003</fb>
    <v>24</v>
  </rv>
  <rv s="1">
    <fb>0.22800000000000001</fb>
    <v>24</v>
  </rv>
  <rv s="1">
    <fb>0.14300000000000002</fb>
    <v>24</v>
  </rv>
  <rv s="1">
    <fb>0.18</fb>
    <v>24</v>
  </rv>
  <rv s="1">
    <fb>8.900000000000001E-2</fb>
    <v>24</v>
  </rv>
  <rv s="1">
    <fb>0.36</fb>
    <v>24</v>
  </rv>
  <rv s="1">
    <fb>1.78</fb>
    <v>31</v>
  </rv>
  <rv s="1">
    <fb>1.0026021000000001</fb>
    <v>24</v>
  </rv>
  <rv s="1">
    <fb>0.81992350000000003</fb>
    <v>24</v>
  </rv>
  <rv s="1">
    <fb>0.238617503950879</fb>
    <v>24</v>
  </rv>
  <rv s="0">
    <v>536870912</v>
    <v>Akershus</v>
    <v>5be911ff-2030-92a4-37f2-690abaa42056</v>
    <v>pt-BR</v>
    <v>Map</v>
  </rv>
  <rv s="0">
    <v>536870912</v>
    <v>Østfold</v>
    <v>61a32360-8194-db60-82a1-1e0c5086e63a</v>
    <v>pt-BR</v>
    <v>Map</v>
  </rv>
  <rv s="0">
    <v>536870912</v>
    <v>Vestfold</v>
    <v>5e401c8e-2c02-1ce2-5adb-d8b619814f47</v>
    <v>pt-BR</v>
    <v>Map</v>
  </rv>
  <rv s="0">
    <v>536870912</v>
    <v>Telemark</v>
    <v>85c1e229-f4df-f952-b782-45dc389f825e</v>
    <v>pt-BR</v>
    <v>Map</v>
  </rv>
  <rv s="0">
    <v>536870912</v>
    <v>Buskerud</v>
    <v>076bb117-59ff-07f7-e641-39689d26f94a</v>
    <v>pt-BR</v>
    <v>Map</v>
  </rv>
  <rv s="0">
    <v>536870912</v>
    <v>Rogaland</v>
    <v>986d3e77-c553-606b-9d2f-776a1c989ba2</v>
    <v>pt-BR</v>
    <v>Map</v>
  </rv>
  <rv s="0">
    <v>536870912</v>
    <v>Møre og Romsdal</v>
    <v>701c8996-b876-44d1-7f9c-2b299bcf08c6</v>
    <v>pt-BR</v>
    <v>Map</v>
  </rv>
  <rv s="0">
    <v>536870912</v>
    <v>Nordland</v>
    <v>35304f96-e4b8-aa47-fc00-57db63d0c883</v>
    <v>pt-BR</v>
    <v>Map</v>
  </rv>
  <rv s="0">
    <v>536870912</v>
    <v>Troms</v>
    <v>7ac3993c-4024-2260-60bb-061627473b63</v>
    <v>pt-BR</v>
    <v>Map</v>
  </rv>
  <rv s="0">
    <v>536870912</v>
    <v>Finnmark</v>
    <v>1cfcd8b0-45c9-4672-8d35-bc11dabfcfd7</v>
    <v>pt-BR</v>
    <v>Map</v>
  </rv>
  <rv s="0">
    <v>536870912</v>
    <v>Svalbard</v>
    <v>e0bdceb6-73d9-342d-a32c-dfba0b579752</v>
    <v>pt-BR</v>
    <v>Map</v>
  </rv>
  <rv s="0">
    <v>536870912</v>
    <v>Jan Mayen</v>
    <v>f56eb1ba-33b5-1e64-ae2b-258d8244ad2c</v>
    <v>pt-BR</v>
    <v>Map</v>
  </rv>
  <rv s="0">
    <v>536870912</v>
    <v>Ilha Bouvet</v>
    <v>0df9c34a-d3f0-c09f-d594-0d17e4ce27da</v>
    <v>pt-BR</v>
    <v>Map</v>
  </rv>
  <rv s="2">
    <v>22</v>
  </rv>
  <rv s="1">
    <fb>23000</fb>
    <v>25</v>
  </rv>
  <rv s="1">
    <fb>3.3459999561309801E-2</fb>
    <v>32</v>
  </rv>
  <rv s="1">
    <fb>1.56</fb>
    <v>30</v>
  </rv>
  <rv s="1">
    <fb>0.36200000000000004</fb>
    <v>24</v>
  </rv>
  <rv s="1">
    <fb>2</fb>
    <v>28</v>
  </rv>
  <rv s="1">
    <fb>10.4</fb>
    <v>30</v>
  </rv>
  <rv s="1">
    <fb>2.6940783293922001E-2</fb>
    <v>24</v>
  </rv>
  <rv s="6">
    <v>#VALUE!</v>
    <v>pt-BR</v>
    <v>51b69cb2-1924-e989-590b-712a7070a30f</v>
    <v>536870912</v>
    <v>1</v>
    <v>61</v>
    <v>62</v>
    <v>63</v>
    <v>Norway</v>
    <v>20</v>
    <v>21</v>
    <v>Map</v>
    <v>22</v>
    <v>64</v>
    <v>NO</v>
    <v>347</v>
    <v>348</v>
    <v>349</v>
    <v>350</v>
    <v>351</v>
    <v>NOK</v>
    <v>352</v>
    <v>353</v>
    <v>354</v>
    <v>Norway, officially the Kingdom of Norway, is a Nordic country comprising the western and northernmost parts of the Scandinavian Peninsula in Northern Europe, the remote Arctic island Jan Mayen and the archipelago Svalbard. Bouvet Island, located ...</v>
    <v>355</v>
    <v>356</v>
    <v>357</v>
    <v>358</v>
    <v>Ja, vi elsker dette landet</v>
    <v>359</v>
    <v>360</v>
    <v>361</v>
    <v>362</v>
    <v>367</v>
    <v>350</v>
    <v>368</v>
    <v>369</v>
    <v>Norway</v>
    <v>Kongeriket Norge</v>
    <v>370</v>
    <v>371</v>
    <v>372</v>
    <v>373</v>
    <v>374</v>
    <v>375</v>
    <v>376</v>
    <v>377</v>
    <v>378</v>
    <v>379</v>
    <v>380</v>
    <v>381</v>
    <v>382</v>
    <v>383</v>
    <v>384</v>
    <v>398</v>
    <v>399</v>
    <v>400</v>
    <v>401</v>
    <v>402</v>
    <v>403</v>
    <v>404</v>
    <v>405</v>
    <v>Norway</v>
    <v>mdp/vdpid/177</v>
  </rv>
  <rv s="3">
    <v>5</v>
    <v>22</v>
    <v>58</v>
    <v>3</v>
    <v>0</v>
    <v>Image of Norway</v>
  </rv>
  <rv s="0">
    <v>536870912</v>
    <v>Spain</v>
    <v>1baf9d59-f443-e9f4-6e49-de048a073e3f</v>
    <v>pt-BR</v>
    <v>Map</v>
  </rv>
  <rv s="1">
    <fb>6.9953624171701497E-3</fb>
    <v>24</v>
  </rv>
  <rv s="1">
    <fb>505990</fb>
    <v>25</v>
  </rv>
  <rv s="1">
    <fb>0.36936209528965797</fb>
    <v>24</v>
  </rv>
  <rv s="0">
    <v>536870912</v>
    <v>Madrid</v>
    <v>a497c067-c4c6-4bf4-9a5d-34fd30589bda</v>
    <v>pt-BR</v>
    <v>Map</v>
  </rv>
  <rv s="1">
    <fb>797285840000</fb>
    <v>26</v>
  </rv>
  <rv s="1">
    <fb>34</fb>
    <v>27</v>
  </rv>
  <rv s="1">
    <fb>72.955546118337793</fb>
    <v>28</v>
  </rv>
  <rv s="1">
    <fb>5355.9870055822103</fb>
    <v>25</v>
  </rv>
  <rv s="1">
    <fb>0.24229018520000001</fb>
    <v>24</v>
  </rv>
  <rv s="1">
    <fb>244002.18</fb>
    <v>25</v>
  </rv>
  <rv s="1">
    <fb>83.334146341463395</fb>
    <v>28</v>
  </rv>
  <rv s="2">
    <v>23</v>
  </rv>
  <rv s="3">
    <v>6</v>
    <v>22</v>
    <v>66</v>
    <v>7</v>
    <v>0</v>
    <v>Image of Spain</v>
  </rv>
  <rv s="1">
    <fb>110.96151904206</fb>
    <v>29</v>
  </rv>
  <rv s="4">
    <v>https://www.bing.com/search?q=Espanha&amp;form=skydnc</v>
    <v>Aprenda mais com Bing</v>
  </rv>
  <rv s="0">
    <v>805306368</v>
    <v>Filipe VI de Espanha (Monarca)</v>
    <v>ec86fb82-ddbc-286a-d1a7-3644682c1efc</v>
    <v>pt-BR</v>
    <v>Generic</v>
  </rv>
  <rv s="0">
    <v>805306368</v>
    <v>Pedro Sánchez (Primeiro-ministro)</v>
    <v>9e0d6cf3-f466-7b6f-0a92-aa23020fc120</v>
    <v>pt-BR</v>
    <v>Generic</v>
  </rv>
  <rv s="2">
    <v>24</v>
  </rv>
  <rv s="1">
    <fb>3.8723000000000001</fb>
    <v>30</v>
  </rv>
  <rv s="1">
    <fb>2.5</fb>
    <v>28</v>
  </rv>
  <rv s="1">
    <fb>1394116310768.6299</fb>
    <v>26</v>
  </rv>
  <rv s="1">
    <fb>47336448</fb>
    <v>25</v>
  </rv>
  <rv s="1">
    <fb>37927409</fb>
    <v>25</v>
  </rv>
  <rv s="1">
    <fb>0.57492000579834002</fb>
    <v>24</v>
  </rv>
  <rv s="1">
    <fb>2.1000000000000001E-2</fb>
    <v>24</v>
  </rv>
  <rv s="1">
    <fb>0.254</fb>
    <v>24</v>
  </rv>
  <rv s="1">
    <fb>0.23399999999999999</fb>
    <v>24</v>
  </rv>
  <rv s="1">
    <fb>0.122</fb>
    <v>24</v>
  </rv>
  <rv s="1">
    <fb>0.17199999999999999</fb>
    <v>24</v>
  </rv>
  <rv s="1">
    <fb>6.2E-2</fb>
    <v>24</v>
  </rv>
  <rv s="1">
    <fb>0.41</fb>
    <v>24</v>
  </rv>
  <rv s="1">
    <fb>1.26</fb>
    <v>31</v>
  </rv>
  <rv s="1">
    <fb>1.0271029</fb>
    <v>24</v>
  </rv>
  <rv s="1">
    <fb>0.88853009999999999</fb>
    <v>24</v>
  </rv>
  <rv s="1">
    <fb>0.14248211393678101</fb>
    <v>24</v>
  </rv>
  <rv s="1">
    <fb>5.6</fb>
    <v>31</v>
  </rv>
  <rv s="0">
    <v>536870912</v>
    <v>Andaluzia</v>
    <v>b009454b-b921-1477-fbf3-ea4c66d409b5</v>
    <v>pt-BR</v>
    <v>Map</v>
  </rv>
  <rv s="0">
    <v>536870912</v>
    <v>Catalunha</v>
    <v>54afd4ed-d6c4-c6c9-2f8d-10440795b196</v>
    <v>pt-BR</v>
    <v>Map</v>
  </rv>
  <rv s="0">
    <v>536870912</v>
    <v>Comunidade de Madrid</v>
    <v>854c08ed-f6d7-c812-1a3f-46928ae0597e</v>
    <v>pt-BR</v>
    <v>Map</v>
  </rv>
  <rv s="0">
    <v>536870912</v>
    <v>Comunidade Valenciana</v>
    <v>d1a45f13-aca9-6854-cb23-92573a279216</v>
    <v>pt-BR</v>
    <v>Map</v>
  </rv>
  <rv s="0">
    <v>536870912</v>
    <v>Galiza</v>
    <v>70c91f08-f55c-f98a-047e-aa9228ed4253</v>
    <v>pt-BR</v>
    <v>Map</v>
  </rv>
  <rv s="0">
    <v>536870912</v>
    <v>Castela e Leão</v>
    <v>7fc8f34d-7f31-b8c6-34d4-545cb3920adf</v>
    <v>pt-BR</v>
    <v>Map</v>
  </rv>
  <rv s="0">
    <v>536870912</v>
    <v>Comunidade Autónoma do País Basco</v>
    <v>27cbb013-d521-0f66-7c87-67bad92e92f5</v>
    <v>pt-BR</v>
    <v>Map</v>
  </rv>
  <rv s="0">
    <v>536870912</v>
    <v>Canárias</v>
    <v>e5f4f633-d27e-9012-be27-a85d7ed21999</v>
    <v>pt-BR</v>
    <v>Map</v>
  </rv>
  <rv s="0">
    <v>536870912</v>
    <v>Castela-Mancha</v>
    <v>1e79c598-5619-e707-75d9-40410db3c0b2</v>
    <v>pt-BR</v>
    <v>Map</v>
  </rv>
  <rv s="0">
    <v>536870912</v>
    <v>Região de Múrcia</v>
    <v>e697a468-5c9d-9a42-68ac-b04781a55abd</v>
    <v>pt-BR</v>
    <v>Map</v>
  </rv>
  <rv s="0">
    <v>536870912</v>
    <v>Aragão</v>
    <v>66482df7-7a8d-eb53-1b74-7702eb8f6ab7</v>
    <v>pt-BR</v>
    <v>Map</v>
  </rv>
  <rv s="0">
    <v>536870912</v>
    <v>Astúrias</v>
    <v>6880b28a-27ed-46a3-3b3f-93553df34103</v>
    <v>pt-BR</v>
    <v>Map</v>
  </rv>
  <rv s="0">
    <v>536870912</v>
    <v>Estremadura</v>
    <v>60c245e4-f9c9-d637-1ff7-50148c20166f</v>
    <v>pt-BR</v>
    <v>Map</v>
  </rv>
  <rv s="0">
    <v>536870912</v>
    <v>Navarra</v>
    <v>bd2c46e0-0dec-2a95-cf06-e23728a2a0ed</v>
    <v>pt-BR</v>
    <v>Map</v>
  </rv>
  <rv s="0">
    <v>536870912</v>
    <v>Cantábria</v>
    <v>ff0ffbe3-172a-ecd8-17cd-6f2f89c9d0dd</v>
    <v>pt-BR</v>
    <v>Map</v>
  </rv>
  <rv s="0">
    <v>536870912</v>
    <v>La Rioja</v>
    <v>c27fd34e-d1ab-5145-cc6e-9d85b07f919e</v>
    <v>pt-BR</v>
    <v>Map</v>
  </rv>
  <rv s="0">
    <v>536870912</v>
    <v>Ceuta</v>
    <v>4575b2d9-4933-9d93-b84d-3080054b3dda</v>
    <v>pt-BR</v>
    <v>Map</v>
  </rv>
  <rv s="0">
    <v>536870912</v>
    <v>Melilha</v>
    <v>a67b3afb-47dd-d884-afd6-0794c4de12ba</v>
    <v>pt-BR</v>
    <v>Map</v>
  </rv>
  <rv s="2">
    <v>25</v>
  </rv>
  <rv s="1">
    <fb>196000</fb>
    <v>25</v>
  </rv>
  <rv s="1">
    <fb>0.13958999633789099</fb>
    <v>32</v>
  </rv>
  <rv s="1">
    <fb>1.26</fb>
    <v>30</v>
  </rv>
  <rv s="1">
    <fb>0.47</fb>
    <v>24</v>
  </rv>
  <rv s="1">
    <fb>4</fb>
    <v>28</v>
  </rv>
  <rv s="1">
    <fb>7.9</fb>
    <v>30</v>
  </rv>
  <rv s="1">
    <fb>0.52577247440306896</fb>
    <v>24</v>
  </rv>
  <rv s="5">
    <v>#VALUE!</v>
    <v>pt-BR</v>
    <v>1baf9d59-f443-e9f4-6e49-de048a073e3f</v>
    <v>536870912</v>
    <v>1</v>
    <v>69</v>
    <v>17</v>
    <v>18</v>
    <v>Spain</v>
    <v>20</v>
    <v>21</v>
    <v>Map</v>
    <v>22</v>
    <v>70</v>
    <v>ES</v>
    <v>409</v>
    <v>410</v>
    <v>411</v>
    <v>412</v>
    <v>413</v>
    <v>EUR</v>
    <v>414</v>
    <v>415</v>
    <v>416</v>
    <v>Spain, officially the Kingdom of Spain, is a country in Southern and Western Europe with territories in North Africa. Featuring the southernmost point of continental Europe, it is the largest country in Southern Europe and the fourth-most ...</v>
    <v>417</v>
    <v>418</v>
    <v>419</v>
    <v>420</v>
    <v>Marcha Real</v>
    <v>89</v>
    <v>421</v>
    <v>422</v>
    <v>423</v>
    <v>426</v>
    <v>412</v>
    <v>427</v>
    <v>428</v>
    <v>Spain</v>
    <v>Reino de España</v>
    <v>429</v>
    <v>430</v>
    <v>431</v>
    <v>432</v>
    <v>433</v>
    <v>434</v>
    <v>435</v>
    <v>436</v>
    <v>437</v>
    <v>438</v>
    <v>439</v>
    <v>440</v>
    <v>441</v>
    <v>442</v>
    <v>443</v>
    <v>444</v>
    <v>463</v>
    <v>464</v>
    <v>465</v>
    <v>466</v>
    <v>467</v>
    <v>468</v>
    <v>469</v>
    <v>470</v>
    <v>Spain</v>
    <v>mdp/vdpid/217</v>
  </rv>
  <rv s="3">
    <v>6</v>
    <v>22</v>
    <v>66</v>
    <v>3</v>
    <v>0</v>
    <v>Image of Spain</v>
  </rv>
  <rv s="0">
    <v>536870912</v>
    <v>Mexico</v>
    <v>8e475659-4bdc-d912-6494-affce0096bc1</v>
    <v>pt-BR</v>
    <v>Map</v>
  </rv>
  <rv s="1">
    <fb>3.6359614212704998E-2</fb>
    <v>24</v>
  </rv>
  <rv s="1">
    <fb>1972550</fb>
    <v>25</v>
  </rv>
  <rv s="1">
    <fb>0.339249458255099</fb>
    <v>24</v>
  </rv>
  <rv s="0">
    <v>536870912</v>
    <v>Cidade do México</v>
    <v>f1281260-8340-e258-c8ec-3522504400e5</v>
    <v>pt-BR</v>
    <v>Map</v>
  </rv>
  <rv s="1">
    <fb>413618820000</fb>
    <v>26</v>
  </rv>
  <rv s="1">
    <fb>52</fb>
    <v>27</v>
  </rv>
  <rv s="1">
    <fb>90.426207910940704</fb>
    <v>28</v>
  </rv>
  <rv s="1">
    <fb>2157.32394883914</fb>
    <v>25</v>
  </rv>
  <rv s="1">
    <fb>0.41370018680000004</fb>
    <v>24</v>
  </rv>
  <rv s="1">
    <fb>486405.54800000001</fb>
    <v>25</v>
  </rv>
  <rv s="1">
    <fb>74.992000000000004</fb>
    <v>28</v>
  </rv>
  <rv s="2">
    <v>26</v>
  </rv>
  <rv s="2">
    <v>27</v>
  </rv>
  <rv s="3">
    <v>7</v>
    <v>22</v>
    <v>72</v>
    <v>7</v>
    <v>0</v>
    <v>Image of Mexico</v>
  </rv>
  <rv s="1">
    <fb>141.54252296997399</fb>
    <v>29</v>
  </rv>
  <rv s="4">
    <v>https://www.bing.com/search?q=M%c3%a9xico&amp;form=skydnc</v>
    <v>Aprenda mais com Bing</v>
  </rv>
  <rv s="0">
    <v>805306368</v>
    <v>Claudia Sheinbaum (Presidente)</v>
    <v>d0490c30-2b7a-cbfd-f6ed-dffdff40aeb0</v>
    <v>pt-BR</v>
    <v>Generic</v>
  </rv>
  <rv s="0">
    <v>805306368</v>
    <v>Hugo Aguilar Ortiz (Chief justice)</v>
    <v>1a43524c-d681-5731-58f7-ade8fe739722</v>
    <v>pt-BR</v>
    <v>Generic</v>
  </rv>
  <rv s="0">
    <v>805306368</v>
    <v>Hugo Aguilar Ortiz (Chefe de Justiça)</v>
    <v>1a43524c-d681-5731-58f7-ade8fe739722</v>
    <v>pt-BR</v>
    <v>Generic</v>
  </rv>
  <rv s="2">
    <v>28</v>
  </rv>
  <rv s="1">
    <fb>2.3826999999999998</fb>
    <v>30</v>
  </rv>
  <rv s="1">
    <fb>11</fb>
    <v>28</v>
  </rv>
  <rv s="1">
    <fb>1258286717124.53</fb>
    <v>26</v>
  </rv>
  <rv s="1">
    <fb>131741347</fb>
    <v>25</v>
  </rv>
  <rv s="1">
    <fb>102626859</fb>
    <v>25</v>
  </rv>
  <rv s="1">
    <fb>0.60680000305175807</fb>
    <v>24</v>
  </rv>
  <rv s="1">
    <fb>0.02</fb>
    <v>24</v>
  </rv>
  <rv s="1">
    <fb>0.36399999999999999</fb>
    <v>24</v>
  </rv>
  <rv s="1">
    <fb>0.2</fb>
    <v>24</v>
  </rv>
  <rv s="1">
    <fb>9.5000000000000001E-2</fb>
    <v>24</v>
  </rv>
  <rv s="1">
    <fb>0.13500000000000001</fb>
    <v>24</v>
  </rv>
  <rv s="1">
    <fb>5.4000000000000006E-2</fb>
    <v>24</v>
  </rv>
  <rv s="1">
    <fb>0.51700000000000002</fb>
    <v>24</v>
  </rv>
  <rv s="1">
    <fb>0.73</fb>
    <v>31</v>
  </rv>
  <rv s="1">
    <fb>1.0577000999999999</fb>
    <v>24</v>
  </rv>
  <rv s="1">
    <fb>0.40228960000000002</fb>
    <v>24</v>
  </rv>
  <rv s="1">
    <fb>0.130829255322402</fb>
    <v>24</v>
  </rv>
  <rv s="1">
    <fb>0.49</fb>
    <v>31</v>
  </rv>
  <rv s="0">
    <v>536870912</v>
    <v>Aguascalientes</v>
    <v>7f39db16-d0e9-f4ba-b929-2a69336bbcb0</v>
    <v>pt-BR</v>
    <v>Map</v>
  </rv>
  <rv s="0">
    <v>536870912</v>
    <v>Baixa Califórnia</v>
    <v>6b504587-24aa-0512-9ca8-180f7fa0f586</v>
    <v>pt-BR</v>
    <v>Map</v>
  </rv>
  <rv s="0">
    <v>536870912</v>
    <v>Baixa Califórnia do Sul</v>
    <v>72f2373c-402d-1899-776e-ebde71dada5d</v>
    <v>pt-BR</v>
    <v>Map</v>
  </rv>
  <rv s="0">
    <v>536870912</v>
    <v>Campeche</v>
    <v>7c67b06b-20b4-3244-d633-4a6255df7395</v>
    <v>pt-BR</v>
    <v>Map</v>
  </rv>
  <rv s="0">
    <v>536870912</v>
    <v>Chiapas</v>
    <v>f0d5e228-a3c3-8699-7df3-32ab85b078b3</v>
    <v>pt-BR</v>
    <v>Map</v>
  </rv>
  <rv s="0">
    <v>536870912</v>
    <v>Chihuahua</v>
    <v>ce5a5e29-7bae-05e8-fec7-e028f5c1e139</v>
    <v>pt-BR</v>
    <v>Map</v>
  </rv>
  <rv s="0">
    <v>536870912</v>
    <v>Coahuila de Zaragoza</v>
    <v>b1fb0720-5dff-3cd3-aa9b-e91c0988b9f4</v>
    <v>pt-BR</v>
    <v>Map</v>
  </rv>
  <rv s="0">
    <v>536870912</v>
    <v>Colima</v>
    <v>c5187e51-1440-155f-505d-5c7804e1489f</v>
    <v>pt-BR</v>
    <v>Map</v>
  </rv>
  <rv s="0">
    <v>536870912</v>
    <v>Durango</v>
    <v>d5a4a060-173a-aa5a-3023-abf4cbc2f03d</v>
    <v>pt-BR</v>
    <v>Map</v>
  </rv>
  <rv s="0">
    <v>536870912</v>
    <v>Guanajuato</v>
    <v>9eaf00cd-2b5c-3655-adbc-dc91f1f0fca3</v>
    <v>pt-BR</v>
    <v>Map</v>
  </rv>
  <rv s="0">
    <v>536870912</v>
    <v>Guerrero</v>
    <v>86638283-e8d0-0d69-1241-dc688f82149b</v>
    <v>pt-BR</v>
    <v>Map</v>
  </rv>
  <rv s="0">
    <v>536870912</v>
    <v>Hidalgo</v>
    <v>76baa939-e01a-077d-0c83-522220d05a5b</v>
    <v>pt-BR</v>
    <v>Map</v>
  </rv>
  <rv s="0">
    <v>536870912</v>
    <v>Jalisco</v>
    <v>18c29bf9-bbf0-e90f-10f3-c48c9791339b</v>
    <v>pt-BR</v>
    <v>Map</v>
  </rv>
  <rv s="0">
    <v>536870912</v>
    <v>México</v>
    <v>884c2c6c-6f06-85ee-aa8d-65b8980f2231</v>
    <v>pt-BR</v>
    <v>Map</v>
  </rv>
  <rv s="0">
    <v>536870912</v>
    <v>Michoacán</v>
    <v>33ec3160-5b7b-5fef-defd-4574b6b819d6</v>
    <v>pt-BR</v>
    <v>Map</v>
  </rv>
  <rv s="0">
    <v>536870912</v>
    <v>Morelos</v>
    <v>457cd12b-12ce-71c2-81d5-f60ba9645b36</v>
    <v>pt-BR</v>
    <v>Map</v>
  </rv>
  <rv s="0">
    <v>536870912</v>
    <v>Naiarite</v>
    <v>d5ab8703-9922-20b7-03c7-acb17f76b03e</v>
    <v>pt-BR</v>
    <v>Map</v>
  </rv>
  <rv s="0">
    <v>536870912</v>
    <v>Nuevo León</v>
    <v>1696b325-bf35-b9aa-28db-3304c1996498</v>
    <v>pt-BR</v>
    <v>Map</v>
  </rv>
  <rv s="0">
    <v>536870912</v>
    <v>Oaxaca</v>
    <v>2a651e2b-4cd2-6315-971b-6bddb30dfb4d</v>
    <v>pt-BR</v>
    <v>Map</v>
  </rv>
  <rv s="0">
    <v>536870912</v>
    <v>Puebla</v>
    <v>e266f3f0-af5e-7537-36e1-118cfcc783a3</v>
    <v>pt-BR</v>
    <v>Map</v>
  </rv>
  <rv s="0">
    <v>536870912</v>
    <v>Querétaro</v>
    <v>4a2d4179-0f55-70d5-99e7-165b2289a273</v>
    <v>pt-BR</v>
    <v>Map</v>
  </rv>
  <rv s="0">
    <v>536870912</v>
    <v>Quintana Roo</v>
    <v>96bcffec-8d1c-5e86-ab0e-e31d5b9a157c</v>
    <v>pt-BR</v>
    <v>Map</v>
  </rv>
  <rv s="0">
    <v>536870912</v>
    <v>San Luis Potosí</v>
    <v>c228dff2-2024-525b-1b90-fe82a2f5ccfc</v>
    <v>pt-BR</v>
    <v>Map</v>
  </rv>
  <rv s="0">
    <v>536870912</v>
    <v>Sinaloa</v>
    <v>ef7dcafc-cca2-39b2-e063-e2bbf5b2022e</v>
    <v>pt-BR</v>
    <v>Map</v>
  </rv>
  <rv s="0">
    <v>536870912</v>
    <v>Sonora</v>
    <v>e59e4f16-5e42-af6e-b970-e0ae59046077</v>
    <v>pt-BR</v>
    <v>Map</v>
  </rv>
  <rv s="0">
    <v>536870912</v>
    <v>Tabasco</v>
    <v>f96880d9-0a36-58d3-7351-a4c7070c642d</v>
    <v>pt-BR</v>
    <v>Map</v>
  </rv>
  <rv s="0">
    <v>536870912</v>
    <v>Tamaulipas</v>
    <v>6f2fce2f-2090-8583-dbf3-dd9d6fc3cab3</v>
    <v>pt-BR</v>
    <v>Map</v>
  </rv>
  <rv s="0">
    <v>536870912</v>
    <v>Tlaxcala</v>
    <v>77063c53-3a0e-fbf0-30d8-68218fbc38fa</v>
    <v>pt-BR</v>
    <v>Map</v>
  </rv>
  <rv s="0">
    <v>536870912</v>
    <v>Veracruz</v>
    <v>10381f79-264a-f2fd-08f8-cc5377683832</v>
    <v>pt-BR</v>
    <v>Map</v>
  </rv>
  <rv s="0">
    <v>536870912</v>
    <v>Iucatã</v>
    <v>f096e19b-5b56-f73a-3e33-e3f03e33fffc</v>
    <v>pt-BR</v>
    <v>Map</v>
  </rv>
  <rv s="0">
    <v>536870912</v>
    <v>Zacatecas</v>
    <v>135a47e4-6f2c-2112-febf-50c21b485bd3</v>
    <v>pt-BR</v>
    <v>Map</v>
  </rv>
  <rv s="2">
    <v>29</v>
  </rv>
  <rv s="1">
    <fb>336000</fb>
    <v>25</v>
  </rv>
  <rv s="1">
    <fb>3.4249999523162801E-2</fb>
    <v>32</v>
  </rv>
  <rv s="1">
    <fb>2.129</fb>
    <v>30</v>
  </rv>
  <rv s="1">
    <fb>0.55100000000000005</fb>
    <v>24</v>
  </rv>
  <rv s="1">
    <fb>33</fb>
    <v>28</v>
  </rv>
  <rv s="1">
    <fb>17.602</fb>
    <v>30</v>
  </rv>
  <rv s="1">
    <fb>0.54649553743666202</fb>
    <v>24</v>
  </rv>
  <rv s="5">
    <v>#VALUE!</v>
    <v>pt-BR</v>
    <v>8e475659-4bdc-d912-6494-affce0096bc1</v>
    <v>536870912</v>
    <v>1</v>
    <v>75</v>
    <v>17</v>
    <v>18</v>
    <v>Mexico</v>
    <v>20</v>
    <v>21</v>
    <v>Map</v>
    <v>22</v>
    <v>76</v>
    <v>MX</v>
    <v>474</v>
    <v>475</v>
    <v>476</v>
    <v>477</v>
    <v>478</v>
    <v>MXN</v>
    <v>479</v>
    <v>480</v>
    <v>481</v>
    <v>Mexico, officially the United Mexican States, is a country in North America. It is the northernmost country in Latin America and borders the United States of America to the north, and Guatemala and Belize to the southeast; while having maritime ...</v>
    <v>482</v>
    <v>483</v>
    <v>484</v>
    <v>485</v>
    <v>Himno Nacional Mexicano</v>
    <v>486</v>
    <v>487</v>
    <v>488</v>
    <v>489</v>
    <v>493</v>
    <v>477</v>
    <v>494</v>
    <v>495</v>
    <v>Mexico</v>
    <v>Estados Unidos Mexicanos</v>
    <v>496</v>
    <v>497</v>
    <v>498</v>
    <v>499</v>
    <v>500</v>
    <v>501</v>
    <v>502</v>
    <v>503</v>
    <v>504</v>
    <v>505</v>
    <v>506</v>
    <v>507</v>
    <v>508</v>
    <v>509</v>
    <v>510</v>
    <v>511</v>
    <v>543</v>
    <v>544</v>
    <v>545</v>
    <v>546</v>
    <v>547</v>
    <v>548</v>
    <v>549</v>
    <v>550</v>
    <v>Mexico</v>
    <v>mdp/vdpid/166</v>
  </rv>
  <rv s="3">
    <v>7</v>
    <v>22</v>
    <v>72</v>
    <v>3</v>
    <v>0</v>
    <v>Image of Mexico</v>
  </rv>
  <rv s="0">
    <v>536870912</v>
    <v>England</v>
    <v>280d39e8-7217-6863-6980-a8c20c211c89</v>
    <v>pt-BR</v>
    <v>Map</v>
  </rv>
  <rv s="1">
    <fb>22063368</fb>
    <v>25</v>
  </rv>
  <rv s="1">
    <fb>130278</fb>
    <v>25</v>
  </rv>
  <rv s="0">
    <v>536870912</v>
    <v>Londres</v>
    <v>8e0ba7b6-4225-fa8a-6369-1b5294e602a5</v>
    <v>pt-BR</v>
    <v>Map</v>
  </rv>
  <rv s="2">
    <v>30</v>
  </rv>
  <rv s="3">
    <v>8</v>
    <v>22</v>
    <v>77</v>
    <v>7</v>
    <v>0</v>
    <v>Image of England</v>
  </rv>
  <rv s="4">
    <v>https://www.bing.com/search?q=Inglaterra&amp;form=skydnc</v>
    <v>Aprenda mais com Bing</v>
  </rv>
  <rv s="0">
    <v>805306368</v>
    <v>Carlos III do Reino Unido (Monarca)</v>
    <v>afc6f6a9-5b55-9178-3e6f-2c8b6d16ee9c</v>
    <v>pt-BR</v>
    <v>Generic</v>
  </rv>
  <rv s="2">
    <v>31</v>
  </rv>
  <rv s="0">
    <v>536870912</v>
    <v>Reino Unido</v>
    <v>b1a5155a-6bb2-4646-8f7c-3e6b3a53c831</v>
    <v>pt-BR</v>
    <v>Map</v>
  </rv>
  <rv s="1">
    <fb>2.4</fb>
    <v>30</v>
  </rv>
  <rv s="1">
    <fb>55268100</fb>
    <v>25</v>
  </rv>
  <rv s="1">
    <fb>22976066</fb>
    <v>25</v>
  </rv>
  <rv s="7">
    <v>#VALUE!</v>
    <v>pt-BR</v>
    <v>280d39e8-7217-6863-6980-a8c20c211c89</v>
    <v>536870912</v>
    <v>1</v>
    <v>80</v>
    <v>81</v>
    <v>82</v>
    <v>England</v>
    <v>20</v>
    <v>21</v>
    <v>Map</v>
    <v>22</v>
    <v>83</v>
    <v>GB-ENG</v>
    <v>554</v>
    <v>555</v>
    <v>556</v>
    <v>England is a country that is part of the United Kingdom. It is located on the island of Great Britain, of which it covers about 62%, and more than 100 smaller adjacent islands. England shares a land border with Scotland to the north and another ...</v>
    <v>557</v>
    <v>228</v>
    <v>558</v>
    <v>559</v>
    <v>561</v>
    <v>556</v>
    <v>England</v>
    <v>562</v>
    <v>563</v>
    <v>564</v>
    <v>565</v>
    <v>England</v>
    <v>mdp/vdpid/10270</v>
  </rv>
  <rv s="3">
    <v>8</v>
    <v>22</v>
    <v>77</v>
    <v>3</v>
    <v>0</v>
    <v>Image of England</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Alterar IPC (%)" t="r"/>
    <k n="`Área" t="r"/>
    <k n="`Área florestal (%)" t="r"/>
    <k n="Capital/Maior Cidade" t="r"/>
    <k n="Capitalização de mercado das empresas listadas" t="r"/>
    <k n="Código da moeda" t="s"/>
    <k n="Código de chamada" t="r"/>
    <k n="Consumo de energia de combustível fóssil" t="r"/>
    <k n="Consumo de energia elétrica" t="r"/>
    <k n="Descrição" t="s"/>
    <k n="Despesas pessoais com saúde (%)" t="r"/>
    <k n="Emissões de dióxido de carbono" t="r"/>
    <k n="Expectativa de vida" t="r"/>
    <k n="Fusos horários" t="r"/>
    <k n="Hino nacional" t="s"/>
    <k n="Idioma oficial" t="r"/>
    <k n="Imagem" t="r"/>
    <k n="IPC" t="r"/>
    <k n="LearnMoreOnLink" t="r"/>
    <k n="Líder(es)" t="r"/>
    <k n="Maior cidade" t="r"/>
    <k n="Médicos para cada mil" t="r"/>
    <k n="Mortalidade infantil" t="r"/>
    <k n="Nome" t="s"/>
    <k n="Nome oficial" t="s"/>
    <k n="PIB" t="r"/>
    <k n="População" t="r"/>
    <k n="População urbana" t="r"/>
    <k n="População: participação da força de trabalho (%)" t="r"/>
    <k n="População: participação de rendimento dos 10% mais pobres" t="r"/>
    <k n="População: participação de rendimento dos 10% mais ricos" t="r"/>
    <k n="População: participação de rendimento dos 20% em quarto lugar" t="r"/>
    <k n="População: participação de rendimento dos 20% em segundo lugar" t="r"/>
    <k n="População: participação de rendimento dos 20% em terceiro lugar" t="r"/>
    <k n="População: participação de rendimento dos 20% mais pobres" t="r"/>
    <k n="População: participação de rendimento dos 20% mais ricos" t="r"/>
    <k n="Preço da gasolina" t="r"/>
    <k n="Quantidade bruta de inscrições do ensino primário (%)" t="r"/>
    <k n="Quantidade bruta de inscrições do ensino superior (%)" t="r"/>
    <k n="Receita fiscal (%)" t="r"/>
    <k n="Salário mínimo" t="r"/>
    <k n="Subdivisões" t="r"/>
    <k n="Tamanho das forças armadas" t="r"/>
    <k n="Taxa de desemprego" t="r"/>
    <k n="Taxa de fertilidade" t="r"/>
    <k n="Taxa de imposto total" t="r"/>
    <k n="Taxa de mortalidade materna" t="r"/>
    <k n="Taxa de natalidade" t="r"/>
    <k n="Terras agrícolas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Alterar IPC (%)" t="r"/>
    <k n="`Área" t="r"/>
    <k n="`Área florestal (%)" t="r"/>
    <k n="Capital/Maior Cidade" t="r"/>
    <k n="Capitalização de mercado das empresas listadas" t="r"/>
    <k n="Código da moeda" t="s"/>
    <k n="Código de chamada" t="r"/>
    <k n="Consumo de energia de combustível fóssil" t="r"/>
    <k n="Consumo de energia elétrica" t="r"/>
    <k n="Descrição" t="s"/>
    <k n="Despesas pessoais com saúde (%)" t="r"/>
    <k n="Emissões de dióxido de carbono" t="r"/>
    <k n="Expectativa de vida" t="r"/>
    <k n="Fusos horários" t="r"/>
    <k n="Hino nacional" t="s"/>
    <k n="Idioma oficial" t="r"/>
    <k n="Imagem" t="r"/>
    <k n="IPC" t="r"/>
    <k n="LearnMoreOnLink" t="r"/>
    <k n="Líder(es)" t="r"/>
    <k n="Maior cidade" t="r"/>
    <k n="Médicos para cada mil" t="r"/>
    <k n="Mortalidade infantil" t="r"/>
    <k n="Nome" t="s"/>
    <k n="Nome oficial" t="s"/>
    <k n="PIB" t="r"/>
    <k n="População" t="r"/>
    <k n="População urbana" t="r"/>
    <k n="População: participação da força de trabalho (%)" t="r"/>
    <k n="População: participação de rendimento dos 10% mais pobres" t="r"/>
    <k n="População: participação de rendimento dos 10% mais ricos" t="r"/>
    <k n="População: participação de rendimento dos 20% em quarto lugar" t="r"/>
    <k n="População: participação de rendimento dos 20% em segundo lugar" t="r"/>
    <k n="População: participação de rendimento dos 20% em terceiro lugar" t="r"/>
    <k n="População: participação de rendimento dos 20% mais pobres" t="r"/>
    <k n="População: participação de rendimento dos 20% mais ricos" t="r"/>
    <k n="Preço da gasolina" t="r"/>
    <k n="Quantidade bruta de inscrições do ensino primário (%)" t="r"/>
    <k n="Quantidade bruta de inscrições do ensino superior (%)" t="r"/>
    <k n="Receita fiscal (%)" t="r"/>
    <k n="Subdivisões" t="r"/>
    <k n="Tamanho das forças armadas" t="r"/>
    <k n="Taxa de desemprego" t="r"/>
    <k n="Taxa de fertilidade" t="r"/>
    <k n="Taxa de imposto total" t="r"/>
    <k n="Taxa de mortalidade materna" t="r"/>
    <k n="Taxa de natalidade" t="r"/>
    <k n="Terras agrícolas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Agregados familiares" t="r"/>
    <k n="`Área" t="r"/>
    <k n="Capital/Maior Cidade" t="r"/>
    <k n="Descrição" t="s"/>
    <k n="Fusos horários" t="r"/>
    <k n="Idioma oficial" t="r"/>
    <k n="Imagem" t="r"/>
    <k n="LearnMoreOnLink" t="r"/>
    <k n="Líder(es)" t="r"/>
    <k n="Maior cidade" t="r"/>
    <k n="Nome" t="s"/>
    <k n="País/região" t="r"/>
    <k n="Pessoas por agregado familiar" t="r"/>
    <k n="População" t="r"/>
    <k n="Unidades habitacionais" t="r"/>
    <k n="UniqueName" t="s"/>
    <k n="VDPID/VSID" t="s"/>
  </s>
</rvStructures>
</file>

<file path=xl/richData/rdsupportingpropertybag.xml><?xml version="1.0" encoding="utf-8"?>
<supportingPropertyBags xmlns="http://schemas.microsoft.com/office/spreadsheetml/2017/richdata2">
  <spbArrays count="3">
    <a count="65">
      <v t="s">%EntityServiceId</v>
      <v t="s">%IsRefreshable</v>
      <v t="s">_CanonicalPropertyNames</v>
      <v t="s">%EntityCulture</v>
      <v t="s">%EntityId</v>
      <v t="s">_Icon</v>
      <v t="s">_Provider</v>
      <v t="s">_Attribution</v>
      <v t="s">_Display</v>
      <v t="s">Nome</v>
      <v t="s">_Format</v>
      <v t="s">Capital/Maior Cidade</v>
      <v t="s">Líder(es)</v>
      <v t="s">_SubLabel</v>
      <v t="s">População</v>
      <v t="s">`Área</v>
      <v t="s">Abreviação</v>
      <v t="s">PIB</v>
      <v t="s">Código da moeda</v>
      <v t="s">Maior cidade</v>
      <v t="s">Hino nacional</v>
      <v t="s">Idioma oficial</v>
      <v t="s">Nome oficial</v>
      <v t="s">Subdivisões</v>
      <v t="s">Expectativa de vida</v>
      <v t="s">Taxa de natalidade</v>
      <v t="s">Taxa de fertilidade</v>
      <v t="s">Mortalidade infantil</v>
      <v t="s">Taxa de mortalidade materna</v>
      <v t="s">População urbana</v>
      <v t="s">Terras agrícolas (%)</v>
      <v t="s">`Área florestal (%)</v>
      <v t="s">Emissões de dióxido de carbono</v>
      <v t="s">Consumo de energia de combustível fóssil</v>
      <v t="s">Preço da gasolina</v>
      <v t="s">Consumo de energia elétrica</v>
      <v t="s">IPC</v>
      <v t="s">Alterar IPC (%)</v>
      <v t="s">População: participação de rendimento dos 10% mais ricos</v>
      <v t="s">População: participação de rendimento dos 20% mais ricos</v>
      <v t="s">População: participação de rendimento dos 20% em segundo lugar</v>
      <v t="s">População: participação de rendimento dos 20% em terceiro lugar</v>
      <v t="s">População: participação de rendimento dos 20% em quarto lugar</v>
      <v t="s">População: participação de rendimento dos 20% mais pobres</v>
      <v t="s">População: participação de rendimento dos 10% mais pobres</v>
      <v t="s">População: participação da força de trabalho (%)</v>
      <v t="s">Salário mínimo</v>
      <v t="s">Receita fiscal (%)</v>
      <v t="s">Taxa de imposto total</v>
      <v t="s">Taxa de desemprego</v>
      <v t="s">Capitalização de mercado das empresas listadas</v>
      <v t="s">Quantidade bruta de inscrições do ensino primário (%)</v>
      <v t="s">Quantidade bruta de inscrições do ensino superior (%)</v>
      <v t="s">Despesas pessoais com saúde (%)</v>
      <v t="s">Médicos para cada mil</v>
      <v t="s">Tamanho das forças armadas</v>
      <v t="s">Fusos horários</v>
      <v t="s">Código de chamada</v>
      <v t="s">_Flags</v>
      <v t="s">VDPID/VSID</v>
      <v t="s">UniqueName</v>
      <v t="s">_DisplayString</v>
      <v t="s">LearnMoreOnLink</v>
      <v t="s">Imagem</v>
      <v t="s">Descrição</v>
    </a>
    <a count="64">
      <v t="s">%EntityServiceId</v>
      <v t="s">%IsRefreshable</v>
      <v t="s">_CanonicalPropertyNames</v>
      <v t="s">%EntityCulture</v>
      <v t="s">%EntityId</v>
      <v t="s">_Icon</v>
      <v t="s">_Provider</v>
      <v t="s">_Attribution</v>
      <v t="s">_Display</v>
      <v t="s">Nome</v>
      <v t="s">_Format</v>
      <v t="s">Capital/Maior Cidade</v>
      <v t="s">Líder(es)</v>
      <v t="s">_SubLabel</v>
      <v t="s">População</v>
      <v t="s">`Área</v>
      <v t="s">Abreviação</v>
      <v t="s">PIB</v>
      <v t="s">Código da moeda</v>
      <v t="s">Maior cidade</v>
      <v t="s">Hino nacional</v>
      <v t="s">Idioma oficial</v>
      <v t="s">Nome oficial</v>
      <v t="s">Subdivisões</v>
      <v t="s">Expectativa de vida</v>
      <v t="s">Taxa de natalidade</v>
      <v t="s">Taxa de fertilidade</v>
      <v t="s">Mortalidade infantil</v>
      <v t="s">Taxa de mortalidade materna</v>
      <v t="s">População urbana</v>
      <v t="s">Terras agrícolas (%)</v>
      <v t="s">`Área florestal (%)</v>
      <v t="s">Emissões de dióxido de carbono</v>
      <v t="s">Consumo de energia de combustível fóssil</v>
      <v t="s">Preço da gasolina</v>
      <v t="s">Consumo de energia elétrica</v>
      <v t="s">IPC</v>
      <v t="s">Alterar IPC (%)</v>
      <v t="s">População: participação de rendimento dos 10% mais ricos</v>
      <v t="s">População: participação de rendimento dos 20% mais ricos</v>
      <v t="s">População: participação de rendimento dos 20% em segundo lugar</v>
      <v t="s">População: participação de rendimento dos 20% em terceiro lugar</v>
      <v t="s">População: participação de rendimento dos 20% em quarto lugar</v>
      <v t="s">População: participação de rendimento dos 20% mais pobres</v>
      <v t="s">População: participação de rendimento dos 10% mais pobres</v>
      <v t="s">População: participação da força de trabalho (%)</v>
      <v t="s">Receita fiscal (%)</v>
      <v t="s">Taxa de imposto total</v>
      <v t="s">Taxa de desemprego</v>
      <v t="s">Capitalização de mercado das empresas listadas</v>
      <v t="s">Quantidade bruta de inscrições do ensino primário (%)</v>
      <v t="s">Quantidade bruta de inscrições do ensino superior (%)</v>
      <v t="s">Despesas pessoais com saúde (%)</v>
      <v t="s">Médicos para cada mil</v>
      <v t="s">Tamanho das forças armadas</v>
      <v t="s">Fusos horários</v>
      <v t="s">Código de chamada</v>
      <v t="s">_Flags</v>
      <v t="s">VDPID/VSID</v>
      <v t="s">UniqueName</v>
      <v t="s">_DisplayString</v>
      <v t="s">LearnMoreOnLink</v>
      <v t="s">Imagem</v>
      <v t="s">Descrição</v>
    </a>
    <a count="31">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Idioma oficial</v>
      <v t="s">Agregados familiares</v>
      <v t="s">Unidades habitacionais</v>
      <v t="s">Pessoas por agregado familiar</v>
      <v t="s">Fusos horários</v>
      <v t="s">_Flags</v>
      <v t="s">VDPID/VSID</v>
      <v t="s">UniqueName</v>
      <v t="s">_DisplayString</v>
      <v t="s">LearnMoreOnLink</v>
      <v t="s">Imagem</v>
      <v t="s">Descrição</v>
    </a>
  </spbArrays>
  <spbData count="84">
    <spb s="0">
      <v xml:space="preserve">data.worldbank.org	</v>
      <v xml:space="preserve">	</v>
      <v xml:space="preserve">http://data.worldbank.org/indicator/FP.CPI.TOTL	</v>
      <v xml:space="preserve">	</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
      <v>0</v>
      <v>1</v>
      <v>2</v>
      <v>2</v>
      <v>2</v>
      <v>2</v>
      <v>3</v>
      <v>2</v>
      <v>2</v>
      <v>2</v>
      <v>2</v>
      <v>3</v>
      <v>4</v>
      <v>2</v>
      <v>5</v>
      <v>2</v>
      <v>1</v>
      <v>4</v>
      <v>4</v>
      <v>6</v>
      <v>7</v>
      <v>8</v>
      <v>4</v>
      <v>2</v>
      <v>9</v>
      <v>4</v>
      <v>10</v>
      <v>4</v>
      <v>11</v>
      <v>12</v>
      <v>13</v>
      <v>14</v>
      <v>4</v>
      <v>4</v>
      <v>1</v>
      <v>15</v>
      <v>4</v>
      <v>4</v>
      <v>4</v>
      <v>4</v>
      <v>4</v>
      <v>4</v>
      <v>4</v>
      <v>4</v>
      <v>4</v>
    </spb>
    <spb s="2">
      <v>CPI</v>
      <v>GDP</v>
      <v>Name</v>
      <v>Area</v>
      <v>Image</v>
      <v>Description</v>
      <v>Population</v>
      <v>Abbreviation</v>
      <v>UniqueName</v>
      <v>VDPID/VSID</v>
      <v>Largest city</v>
      <v>Official name</v>
      <v>National anthem</v>
      <v>Minimum wage</v>
      <v>CPI Change (%)</v>
      <v>Currency code</v>
      <v>LearnMoreOnLink</v>
      <v>Urban population</v>
      <v>Calling code</v>
      <v>Gasoline price</v>
      <v>Tax revenue (%)</v>
      <v>Unemployment rate</v>
      <v>Birth rate</v>
      <v>Forested area (%)</v>
      <v>Life expectancy</v>
      <v>Fertility rate</v>
      <v>Capital/Major City</v>
      <v>Infant mortality</v>
      <v>Agricultural land (%)</v>
      <v>Physicians per thousand</v>
      <v>Total tax rate</v>
      <v>Armed forces size</v>
      <v>Electric power consumption</v>
      <v>Maternal mortality ratio</v>
      <v>Carbon dioxide emissions</v>
      <v>Out of pocket health expenditure (%)</v>
      <v>Fossil fuel energy consumption</v>
      <v>Market cap of listed companies</v>
      <v>Population: Labor force participation (%)</v>
      <v>Gross primary education enrollment (%)</v>
      <v>Gross tertiary education enrollment (%)</v>
      <v>Population: Income share highest 10%</v>
      <v>Population: Income share highest 20%</v>
      <v>Population: Income share lowest 10%</v>
      <v>Population: Income share lowest 20%</v>
      <v>Population: Income share fourth 20%</v>
      <v>Population: Income share second 20%</v>
      <v>Population: Income share third 20%</v>
    </spb>
    <spb s="3">
      <v>0</v>
      <v>Name</v>
      <v>LearnMoreOnLink</v>
    </spb>
    <spb s="4">
      <v>0</v>
      <v>0</v>
      <v>0</v>
    </spb>
    <spb s="5">
      <v>19</v>
      <v>19</v>
      <v>19</v>
    </spb>
    <spb s="6">
      <v>1</v>
      <v>2</v>
    </spb>
    <spb s="7">
      <v>https://www.bing.com</v>
      <v>https://www.bing.com/th?id=Ga%5Cbing_yt.png&amp;w=100&amp;h=40&amp;c=0&amp;pid=0.1</v>
      <v>Da plataforma Bing</v>
    </spb>
    <spb s="8">
      <v>2019</v>
      <v>2019</v>
      <v>km quadrado</v>
      <v>2025</v>
      <v>2019</v>
      <v>2019</v>
      <v>por litro (2016)</v>
      <v>2018</v>
      <v>2019</v>
      <v>por mil (2018)</v>
      <v>anos (2018)</v>
      <v>2018</v>
      <v>2016</v>
      <v>por mil (2018)</v>
      <v>2016</v>
      <v>2018</v>
      <v>2019</v>
      <v>2017</v>
      <v>kWh (2014)</v>
      <v>mortes por 100.000 (2017)</v>
      <v>quilotoneladas por ano (2016)</v>
      <v>2015</v>
      <v>2014</v>
      <v>2019</v>
      <v>2019</v>
      <v>2017</v>
      <v>2017</v>
      <v>2018</v>
      <v>2018</v>
      <v>2018</v>
      <v>2018</v>
      <v>2018</v>
      <v>2018</v>
      <v>2018</v>
    </spb>
    <spb s="9">
      <v>3</v>
    </spb>
    <spb s="9">
      <v>4</v>
    </spb>
    <spb s="9">
      <v>5</v>
    </spb>
    <spb s="9">
      <v>6</v>
    </spb>
    <spb s="9">
      <v>7</v>
    </spb>
    <spb s="9">
      <v>8</v>
    </spb>
    <spb s="9">
      <v>9</v>
    </spb>
    <spb s="9">
      <v>10</v>
    </spb>
    <spb s="9">
      <v>11</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
      <v>0</v>
      <v>33</v>
      <v>34</v>
      <v>34</v>
      <v>34</v>
      <v>34</v>
      <v>35</v>
      <v>34</v>
      <v>34</v>
      <v>34</v>
      <v>34</v>
      <v>35</v>
      <v>36</v>
      <v>34</v>
      <v>5</v>
      <v>34</v>
      <v>33</v>
      <v>36</v>
      <v>36</v>
      <v>6</v>
      <v>7</v>
      <v>8</v>
      <v>36</v>
      <v>34</v>
      <v>9</v>
      <v>36</v>
      <v>10</v>
      <v>36</v>
      <v>11</v>
      <v>12</v>
      <v>13</v>
      <v>14</v>
      <v>36</v>
      <v>36</v>
      <v>33</v>
      <v>15</v>
      <v>36</v>
      <v>36</v>
      <v>36</v>
      <v>36</v>
      <v>36</v>
      <v>36</v>
      <v>36</v>
      <v>36</v>
      <v>36</v>
    </spb>
    <spb s="8">
      <v>2019</v>
      <v>2019</v>
      <v>km quadrado</v>
      <v>2025</v>
      <v>2019</v>
      <v>2019</v>
      <v>por litro (2016)</v>
      <v>2018</v>
      <v>2019</v>
      <v>por mil (2018)</v>
      <v>anos (2018)</v>
      <v>2018</v>
      <v>2016</v>
      <v>por mil (2018)</v>
      <v>2016</v>
      <v>2017</v>
      <v>2019</v>
      <v>2017</v>
      <v>kWh (2014)</v>
      <v>mortes por 100.000 (2017)</v>
      <v>quilotoneladas por ano (2016)</v>
      <v>2015</v>
      <v>2014</v>
      <v>2019</v>
      <v>2019</v>
      <v>2017</v>
      <v>2017</v>
      <v>2018</v>
      <v>2018</v>
      <v>2018</v>
      <v>2018</v>
      <v>2018</v>
      <v>2018</v>
      <v>2018</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39</v>
      <v>40</v>
      <v>40</v>
      <v>40</v>
      <v>40</v>
      <v>41</v>
      <v>40</v>
      <v>40</v>
      <v>40</v>
      <v>40</v>
      <v>41</v>
      <v>42</v>
      <v>40</v>
      <v>5</v>
      <v>40</v>
      <v>39</v>
      <v>42</v>
      <v>42</v>
      <v>6</v>
      <v>7</v>
      <v>8</v>
      <v>42</v>
      <v>40</v>
      <v>9</v>
      <v>42</v>
      <v>10</v>
      <v>42</v>
      <v>11</v>
      <v>12</v>
      <v>13</v>
      <v>14</v>
      <v>42</v>
      <v>42</v>
      <v>39</v>
      <v>15</v>
      <v>42</v>
      <v>42</v>
      <v>42</v>
      <v>42</v>
      <v>42</v>
      <v>42</v>
      <v>42</v>
      <v>42</v>
      <v>42</v>
    </spb>
    <spb s="8">
      <v>2019</v>
      <v>2019</v>
      <v>km quadrado</v>
      <v>2025</v>
      <v>2019</v>
      <v>2019</v>
      <v>por litro (2016)</v>
      <v>2018</v>
      <v>2019</v>
      <v>por mil (2018)</v>
      <v>anos (2018)</v>
      <v>2018</v>
      <v>2016</v>
      <v>por mil (2018)</v>
      <v>2016</v>
      <v>2017</v>
      <v>2019</v>
      <v>2017</v>
      <v>kWh (2014)</v>
      <v>mortes por 100.000 (2017)</v>
      <v>quilotoneladas por ano (2016)</v>
      <v>2015</v>
      <v>2015</v>
      <v>2018</v>
      <v>2019</v>
      <v>2017</v>
      <v>2017</v>
      <v>2017</v>
      <v>2017</v>
      <v>2017</v>
      <v>2017</v>
      <v>2017</v>
      <v>2017</v>
      <v>2017</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
      <v>0</v>
      <v>45</v>
      <v>46</v>
      <v>46</v>
      <v>46</v>
      <v>46</v>
      <v>47</v>
      <v>46</v>
      <v>46</v>
      <v>46</v>
      <v>46</v>
      <v>47</v>
      <v>48</v>
      <v>46</v>
      <v>5</v>
      <v>46</v>
      <v>45</v>
      <v>48</v>
      <v>48</v>
      <v>6</v>
      <v>7</v>
      <v>8</v>
      <v>48</v>
      <v>46</v>
      <v>9</v>
      <v>48</v>
      <v>10</v>
      <v>48</v>
      <v>11</v>
      <v>12</v>
      <v>13</v>
      <v>14</v>
      <v>48</v>
      <v>48</v>
      <v>45</v>
      <v>15</v>
      <v>48</v>
      <v>48</v>
      <v>48</v>
      <v>48</v>
      <v>48</v>
      <v>48</v>
      <v>48</v>
      <v>48</v>
      <v>48</v>
    </spb>
    <spb s="8">
      <v>2019</v>
      <v>2019</v>
      <v>km quadrado</v>
      <v>2025</v>
      <v>2019</v>
      <v>2019</v>
      <v>por litro (2016)</v>
      <v>2018</v>
      <v>2019</v>
      <v>por mil (2018)</v>
      <v>anos (2018)</v>
      <v>2018</v>
      <v>2016</v>
      <v>por mil (2018)</v>
      <v>2016</v>
      <v>2017</v>
      <v>2019</v>
      <v>2017</v>
      <v>kWh (2014)</v>
      <v>mortes por 100.000 (2017)</v>
      <v>quilotoneladas por ano (2016)</v>
      <v>2015</v>
      <v>2014</v>
      <v>2011</v>
      <v>2019</v>
      <v>2019</v>
      <v>2018</v>
      <v>2016</v>
      <v>2016</v>
      <v>2016</v>
      <v>2016</v>
      <v>2016</v>
      <v>2016</v>
      <v>2016</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51</v>
      <v>52</v>
      <v>52</v>
      <v>52</v>
      <v>52</v>
      <v>53</v>
      <v>52</v>
      <v>52</v>
      <v>52</v>
      <v>52</v>
      <v>53</v>
      <v>54</v>
      <v>52</v>
      <v>5</v>
      <v>52</v>
      <v>51</v>
      <v>54</v>
      <v>54</v>
      <v>6</v>
      <v>7</v>
      <v>8</v>
      <v>54</v>
      <v>52</v>
      <v>9</v>
      <v>54</v>
      <v>10</v>
      <v>54</v>
      <v>11</v>
      <v>12</v>
      <v>13</v>
      <v>14</v>
      <v>54</v>
      <v>54</v>
      <v>51</v>
      <v>15</v>
      <v>54</v>
      <v>54</v>
      <v>54</v>
      <v>54</v>
      <v>54</v>
      <v>54</v>
      <v>54</v>
      <v>54</v>
      <v>54</v>
    </spb>
    <spb s="8">
      <v>2019</v>
      <v>2019</v>
      <v>km quadrado</v>
      <v>2025</v>
      <v>2019</v>
      <v>2019</v>
      <v>por litro (2016)</v>
      <v>2018</v>
      <v>2019</v>
      <v>por mil (2018)</v>
      <v>anos (2018)</v>
      <v>2018</v>
      <v>2016</v>
      <v>por mil (2018)</v>
      <v>2016</v>
      <v>2018</v>
      <v>2019</v>
      <v>2017</v>
      <v>kWh (2014)</v>
      <v>mortes por 100.000 (2017)</v>
      <v>quilotoneladas por ano (2014)</v>
      <v>2015</v>
      <v>2015</v>
      <v>2018</v>
      <v>2019</v>
      <v>2017</v>
      <v>2017</v>
      <v>2017</v>
      <v>2017</v>
      <v>2017</v>
      <v>2017</v>
      <v>2017</v>
      <v>2017</v>
      <v>2017</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10">
      <v>0</v>
      <v>57</v>
      <v>58</v>
      <v>58</v>
      <v>58</v>
      <v>58</v>
      <v>59</v>
      <v>58</v>
      <v>58</v>
      <v>58</v>
      <v>58</v>
      <v>60</v>
      <v>58</v>
      <v>5</v>
      <v>58</v>
      <v>57</v>
      <v>60</v>
      <v>60</v>
      <v>6</v>
      <v>7</v>
      <v>8</v>
      <v>60</v>
      <v>58</v>
      <v>9</v>
      <v>60</v>
      <v>10</v>
      <v>60</v>
      <v>11</v>
      <v>12</v>
      <v>13</v>
      <v>14</v>
      <v>60</v>
      <v>60</v>
      <v>57</v>
      <v>15</v>
      <v>60</v>
      <v>60</v>
      <v>60</v>
      <v>60</v>
      <v>60</v>
      <v>60</v>
      <v>60</v>
      <v>60</v>
      <v>60</v>
    </spb>
    <spb s="11">
      <v>CPI</v>
      <v>GDP</v>
      <v>Name</v>
      <v>Area</v>
      <v>Image</v>
      <v>Description</v>
      <v>Population</v>
      <v>Abbreviation</v>
      <v>UniqueName</v>
      <v>VDPID/VSID</v>
      <v>Largest city</v>
      <v>Official name</v>
      <v>National anthem</v>
      <v>CPI Change (%)</v>
      <v>Currency code</v>
      <v>LearnMoreOnLink</v>
      <v>Urban population</v>
      <v>Calling code</v>
      <v>Gasoline price</v>
      <v>Tax revenue (%)</v>
      <v>Unemployment rate</v>
      <v>Birth rate</v>
      <v>Forested area (%)</v>
      <v>Life expectancy</v>
      <v>Fertility rate</v>
      <v>Capital/Major City</v>
      <v>Infant mortality</v>
      <v>Agricultural land (%)</v>
      <v>Physicians per thousand</v>
      <v>Total tax rate</v>
      <v>Armed forces size</v>
      <v>Electric power consumption</v>
      <v>Maternal mortality ratio</v>
      <v>Carbon dioxide emissions</v>
      <v>Out of pocket health expenditure (%)</v>
      <v>Fossil fuel energy consumption</v>
      <v>Market cap of listed companies</v>
      <v>Population: Labor force participation (%)</v>
      <v>Gross primary education enrollment (%)</v>
      <v>Gross tertiary education enrollment (%)</v>
      <v>Population: Income share highest 10%</v>
      <v>Population: Income share highest 20%</v>
      <v>Population: Income share lowest 10%</v>
      <v>Population: Income share lowest 20%</v>
      <v>Population: Income share fourth 20%</v>
      <v>Population: Income share second 20%</v>
      <v>Population: Income share third 20%</v>
    </spb>
    <spb s="3">
      <v>1</v>
      <v>Name</v>
      <v>LearnMoreOnLink</v>
    </spb>
    <spb s="8">
      <v>2019</v>
      <v>2019</v>
      <v>km quadrado</v>
      <v>2025</v>
      <v>2019</v>
      <v>2019</v>
      <v>por litro (2016)</v>
      <v>2018</v>
      <v>2019</v>
      <v>por mil (2018)</v>
      <v>anos (2018)</v>
      <v>2018</v>
      <v>2016</v>
      <v>por mil (2018)</v>
      <v>2016</v>
      <v>2018</v>
      <v>2019</v>
      <v>2017</v>
      <v>kWh (2014)</v>
      <v>mortes por 100.000 (2017)</v>
      <v>quilotoneladas por ano (2016)</v>
      <v>2015</v>
      <v>2015</v>
      <v>2019</v>
      <v>2019</v>
      <v>2017</v>
      <v>2017</v>
      <v>2017</v>
      <v>2017</v>
      <v>2017</v>
      <v>2017</v>
      <v>2017</v>
      <v>2017</v>
      <v>2017</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65</v>
      <v>66</v>
      <v>66</v>
      <v>66</v>
      <v>66</v>
      <v>67</v>
      <v>66</v>
      <v>66</v>
      <v>66</v>
      <v>66</v>
      <v>67</v>
      <v>68</v>
      <v>66</v>
      <v>5</v>
      <v>66</v>
      <v>65</v>
      <v>68</v>
      <v>68</v>
      <v>6</v>
      <v>7</v>
      <v>8</v>
      <v>68</v>
      <v>66</v>
      <v>9</v>
      <v>68</v>
      <v>10</v>
      <v>68</v>
      <v>11</v>
      <v>12</v>
      <v>13</v>
      <v>14</v>
      <v>68</v>
      <v>68</v>
      <v>65</v>
      <v>15</v>
      <v>68</v>
      <v>68</v>
      <v>68</v>
      <v>68</v>
      <v>68</v>
      <v>68</v>
      <v>68</v>
      <v>68</v>
      <v>68</v>
    </spb>
    <spb s="8">
      <v>2019</v>
      <v>2019</v>
      <v>km quadrado</v>
      <v>2025</v>
      <v>2019</v>
      <v>2019</v>
      <v>por litro (2016)</v>
      <v>2018</v>
      <v>2019</v>
      <v>por mil (2018)</v>
      <v>anos (2018)</v>
      <v>2018</v>
      <v>2016</v>
      <v>por mil (2018)</v>
      <v>2016</v>
      <v>2017</v>
      <v>2019</v>
      <v>2017</v>
      <v>kWh (2014)</v>
      <v>mortes por 100.000 (2017)</v>
      <v>quilotoneladas por ano (2016)</v>
      <v>2015</v>
      <v>2015</v>
      <v>2019</v>
      <v>2019</v>
      <v>2017</v>
      <v>2017</v>
      <v>2017</v>
      <v>2017</v>
      <v>2017</v>
      <v>2017</v>
      <v>2017</v>
      <v>2017</v>
      <v>2017</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71</v>
      <v>72</v>
      <v>72</v>
      <v>72</v>
      <v>72</v>
      <v>73</v>
      <v>72</v>
      <v>72</v>
      <v>72</v>
      <v>72</v>
      <v>73</v>
      <v>74</v>
      <v>72</v>
      <v>5</v>
      <v>72</v>
      <v>71</v>
      <v>74</v>
      <v>74</v>
      <v>6</v>
      <v>7</v>
      <v>8</v>
      <v>74</v>
      <v>72</v>
      <v>9</v>
      <v>74</v>
      <v>10</v>
      <v>74</v>
      <v>11</v>
      <v>12</v>
      <v>13</v>
      <v>14</v>
      <v>74</v>
      <v>74</v>
      <v>71</v>
      <v>15</v>
      <v>74</v>
      <v>74</v>
      <v>74</v>
      <v>74</v>
      <v>74</v>
      <v>74</v>
      <v>74</v>
      <v>74</v>
      <v>74</v>
    </spb>
    <spb s="8">
      <v>2019</v>
      <v>2019</v>
      <v>km quadrado</v>
      <v>2025</v>
      <v>2019</v>
      <v>2019</v>
      <v>por litro (2016)</v>
      <v>2018</v>
      <v>2019</v>
      <v>por mil (2018)</v>
      <v>anos (2018)</v>
      <v>2018</v>
      <v>2016</v>
      <v>por mil (2018)</v>
      <v>2016</v>
      <v>2017</v>
      <v>2019</v>
      <v>2017</v>
      <v>kWh (2014)</v>
      <v>mortes por 100.000 (2017)</v>
      <v>quilotoneladas por ano (2016)</v>
      <v>2015</v>
      <v>2015</v>
      <v>2019</v>
      <v>2019</v>
      <v>2017</v>
      <v>2017</v>
      <v>2018</v>
      <v>2018</v>
      <v>2018</v>
      <v>2018</v>
      <v>2018</v>
      <v>2018</v>
      <v>2018</v>
    </spb>
    <spb s="0">
      <v xml:space="preserve">Wikipedia	</v>
      <v xml:space="preserve">CC BY-SA 3.0	</v>
      <v xml:space="preserve">https://en.wikipedia.org/wiki/England	</v>
      <v xml:space="preserve">https://creativecommons.org/licenses/by-sa/3.0	</v>
    </spb>
    <spb s="0">
      <v xml:space="preserve">Wikipedia	</v>
      <v xml:space="preserve">CC-BY-SA	</v>
      <v xml:space="preserve">http://en.wikipedia.org/wiki/England	</v>
      <v xml:space="preserve">http://creativecommons.org/licenses/by-sa/3.0/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12">
      <v>77</v>
      <v>77</v>
      <v>77</v>
      <v>77</v>
      <v>78</v>
      <v>77</v>
      <v>77</v>
      <v>77</v>
      <v>79</v>
      <v>77</v>
      <v>79</v>
      <v>79</v>
    </spb>
    <spb s="13">
      <v>Name</v>
      <v>Area</v>
      <v>Image</v>
      <v>Description</v>
      <v>Population</v>
      <v>Abbreviation</v>
      <v>UniqueName</v>
      <v>VDPID/VSID</v>
      <v>Country/region</v>
      <v>Largest city</v>
      <v>LearnMoreOnLink</v>
      <v>Households</v>
      <v>Capital/Major City</v>
      <v>Housing units</v>
      <v>Persons per household</v>
    </spb>
    <spb s="3">
      <v>2</v>
      <v>Name</v>
      <v>LearnMoreOnLink</v>
    </spb>
    <spb s="14">
      <v>km quadrado</v>
      <v>2016</v>
      <v>2011</v>
      <v>2011</v>
      <v>2011</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IPC" t="spb"/>
    <k n="PIB" t="spb"/>
    <k n="Nome" t="spb"/>
    <k n="`Área" t="spb"/>
    <k n="Descrição" t="spb"/>
    <k n="População" t="spb"/>
    <k n="Abreviação" t="spb"/>
    <k n="UniqueName" t="spb"/>
    <k n="Maior cidade" t="spb"/>
    <k n="Nome oficial" t="spb"/>
    <k n="Hino nacional" t="spb"/>
    <k n="Salário mínimo" t="spb"/>
    <k n="Alterar IPC (%)" t="spb"/>
    <k n="Código da moeda" t="spb"/>
    <k n="População urbana" t="spb"/>
    <k n="Código de chamada" t="spb"/>
    <k n="Preço da gasolina" t="spb"/>
    <k n="Receita fiscal (%)" t="spb"/>
    <k n="Taxa de desemprego" t="spb"/>
    <k n="Taxa de natalidade" t="spb"/>
    <k n="Expectativa de vida" t="spb"/>
    <k n="Taxa de fertilidade" t="spb"/>
    <k n="`Área florestal (%)" t="spb"/>
    <k n="Capital/Maior Cidade" t="spb"/>
    <k n="Mortalidade infantil" t="spb"/>
    <k n="Terras agrícolas (%)" t="spb"/>
    <k n="Médicos para cada mil" t="spb"/>
    <k n="Taxa de imposto total" t="spb"/>
    <k n="Tamanho das forças armadas" t="spb"/>
    <k n="Consumo de energia elétrica" t="spb"/>
    <k n="Taxa de mortalidade materna" t="spb"/>
    <k n="Emissões de dióxido de carbono" t="spb"/>
    <k n="Despesas pessoais com saúde (%)" t="spb"/>
    <k n="Consumo de energia de combustível fóssil" t="spb"/>
    <k n="Capitalização de mercado das empresas listadas" t="spb"/>
    <k n="População: participação da força de trabalho (%)" t="spb"/>
    <k n="Quantidade bruta de inscrições do ensino primário (%)" t="spb"/>
    <k n="Quantidade bruta de inscrições do ensino superior (%)" t="spb"/>
    <k n="População: participação de rendimento dos 10% mais ricos" t="spb"/>
    <k n="População: participação de rendimento dos 20% mais ricos" t="spb"/>
    <k n="População: participação de rendimento dos 10% mais pobres" t="spb"/>
    <k n="População: participação de rendimento dos 20% mais pobres" t="spb"/>
    <k n="População: participação de rendimento dos 20% em quarto lugar" t="spb"/>
    <k n="População: participação de rendimento dos 20% em segundo lugar" t="spb"/>
    <k n="População: participação de rendimento dos 20% em terceiro lugar" t="spb"/>
  </s>
  <s>
    <k n="IPC" t="s"/>
    <k n="PIB" t="s"/>
    <k n="Nome" t="s"/>
    <k n="Área" t="s"/>
    <k n="Imagem" t="s"/>
    <k n="Descrição" t="s"/>
    <k n="População" t="s"/>
    <k n="Abreviação" t="s"/>
    <k n="UniqueName" t="s"/>
    <k n="VDPID/VSID" t="s"/>
    <k n="Maior cidade" t="s"/>
    <k n="Nome oficial" t="s"/>
    <k n="Hino nacional" t="s"/>
    <k n="Salário mínimo" t="s"/>
    <k n="Alterar IPC (%)" t="s"/>
    <k n="Código da moeda" t="s"/>
    <k n="LearnMoreOnLink" t="s"/>
    <k n="População urbana" t="s"/>
    <k n="Código de chamada" t="s"/>
    <k n="Preço da gasolina" t="s"/>
    <k n="Receita fiscal (%)" t="s"/>
    <k n="Taxa de desemprego" t="s"/>
    <k n="Taxa de natalidade" t="s"/>
    <k n="Área florestal (%)" t="s"/>
    <k n="Expectativa de vida" t="s"/>
    <k n="Taxa de fertilidade" t="s"/>
    <k n="Capital/Maior Cidade" t="s"/>
    <k n="Mortalidade infantil" t="s"/>
    <k n="Terras agrícolas (%)" t="s"/>
    <k n="Médicos para cada mil" t="s"/>
    <k n="Taxa de imposto total" t="s"/>
    <k n="Tamanho das forças armadas" t="s"/>
    <k n="Consumo de energia elétrica" t="s"/>
    <k n="Taxa de mortalidade materna" t="s"/>
    <k n="Emissões de dióxido de carbono" t="s"/>
    <k n="Despesas pessoais com saúde (%)" t="s"/>
    <k n="Consumo de energia de combustível fóssil" t="s"/>
    <k n="Capitalização de mercado das empresas listadas" t="s"/>
    <k n="População: participação da força de trabalho (%)" t="s"/>
    <k n="Quantidade bruta de inscrições do ensino primário (%)" t="s"/>
    <k n="Quantidade bruta de inscrições do ensino superior (%)" t="s"/>
    <k n="População: participação de rendimento dos 10% mais ricos" t="s"/>
    <k n="População: participação de rendimento dos 20% mais ricos" t="s"/>
    <k n="População: participação de rendimento dos 10% mais pobres" t="s"/>
    <k n="População: participação de rendimento dos 20% mais pobres" t="s"/>
    <k n="População: participação de rendimento dos 20% em quarto lugar" t="s"/>
    <k n="População: participação de rendimento dos 20% em segundo lugar" t="s"/>
    <k n="População: participação de rendimento dos 20% em terceiro lugar" t="s"/>
  </s>
  <s>
    <k n="^Order" t="spba"/>
    <k n="TitleProperty" t="s"/>
    <k n="SubTitleProperty" t="s"/>
  </s>
  <s>
    <k n="ShowInCardView" t="b"/>
    <k n="ShowInDotNotation" t="b"/>
    <k n="ShowInAutoComplete" t="b"/>
  </s>
  <s>
    <k n="UniqueName" t="spb"/>
    <k n="VDPID/VSID" t="spb"/>
    <k n="LearnMoreOnLink" t="spb"/>
  </s>
  <s>
    <k n="Nome" t="i"/>
    <k n="Imagem" t="i"/>
  </s>
  <s>
    <k n="link" t="s"/>
    <k n="logo" t="s"/>
    <k n="name" t="s"/>
  </s>
  <s>
    <k n="IPC" t="s"/>
    <k n="PIB" t="s"/>
    <k n="`Área" t="s"/>
    <k n="População" t="s"/>
    <k n="Alterar IPC (%)" t="s"/>
    <k n="População urbana" t="s"/>
    <k n="Preço da gasolina" t="s"/>
    <k n="Receita fiscal (%)" t="s"/>
    <k n="Taxa de desemprego" t="s"/>
    <k n="Taxa de natalidade" t="s"/>
    <k n="Expectativa de vida" t="s"/>
    <k n="Taxa de fertilidade" t="s"/>
    <k n="`Área florestal (%)" t="s"/>
    <k n="Mortalidade infantil" t="s"/>
    <k n="Terras agrícolas (%)" t="s"/>
    <k n="Médicos para cada mil" t="s"/>
    <k n="Taxa de imposto total" t="s"/>
    <k n="Tamanho das forças armadas" t="s"/>
    <k n="Consumo de energia elétrica" t="s"/>
    <k n="Taxa de mortalidade materna" t="s"/>
    <k n="Emissões de dióxido de carbono" t="s"/>
    <k n="Despesas pessoais com saúde (%)" t="s"/>
    <k n="Consumo de energia de combustível fóssil" t="s"/>
    <k n="Capitalização de mercado das empresas listadas" t="s"/>
    <k n="População: participação da força de trabalho (%)" t="s"/>
    <k n="Quantidade bruta de inscrições do ensino primário (%)" t="s"/>
    <k n="Quantidade bruta de inscrições do ensino superior (%)" t="s"/>
    <k n="População: participação de rendimento dos 10% mais ricos" t="s"/>
    <k n="População: participação de rendimento dos 20% mais ricos" t="s"/>
    <k n="População: participação de rendimento dos 10% mais pobres" t="s"/>
    <k n="População: participação de rendimento dos 20% mais pobres" t="s"/>
    <k n="População: participação de rendimento dos 20% em quarto lugar" t="s"/>
    <k n="População: participação de rendimento dos 20% em segundo lugar" t="s"/>
    <k n="População: participação de rendimento dos 20% em terceiro lugar" t="s"/>
  </s>
  <s>
    <k n="_Self" t="i"/>
  </s>
  <s>
    <k n="IPC" t="spb"/>
    <k n="PIB" t="spb"/>
    <k n="Nome" t="spb"/>
    <k n="`Área" t="spb"/>
    <k n="Descrição" t="spb"/>
    <k n="População" t="spb"/>
    <k n="Abreviação" t="spb"/>
    <k n="UniqueName" t="spb"/>
    <k n="Maior cidade" t="spb"/>
    <k n="Nome oficial" t="spb"/>
    <k n="Hino nacional" t="spb"/>
    <k n="Alterar IPC (%)" t="spb"/>
    <k n="Código da moeda" t="spb"/>
    <k n="População urbana" t="spb"/>
    <k n="Código de chamada" t="spb"/>
    <k n="Preço da gasolina" t="spb"/>
    <k n="Receita fiscal (%)" t="spb"/>
    <k n="Taxa de desemprego" t="spb"/>
    <k n="Taxa de natalidade" t="spb"/>
    <k n="Expectativa de vida" t="spb"/>
    <k n="Taxa de fertilidade" t="spb"/>
    <k n="`Área florestal (%)" t="spb"/>
    <k n="Capital/Maior Cidade" t="spb"/>
    <k n="Mortalidade infantil" t="spb"/>
    <k n="Terras agrícolas (%)" t="spb"/>
    <k n="Médicos para cada mil" t="spb"/>
    <k n="Taxa de imposto total" t="spb"/>
    <k n="Tamanho das forças armadas" t="spb"/>
    <k n="Consumo de energia elétrica" t="spb"/>
    <k n="Taxa de mortalidade materna" t="spb"/>
    <k n="Emissões de dióxido de carbono" t="spb"/>
    <k n="Despesas pessoais com saúde (%)" t="spb"/>
    <k n="Consumo de energia de combustível fóssil" t="spb"/>
    <k n="Capitalização de mercado das empresas listadas" t="spb"/>
    <k n="População: participação da força de trabalho (%)" t="spb"/>
    <k n="Quantidade bruta de inscrições do ensino primário (%)" t="spb"/>
    <k n="Quantidade bruta de inscrições do ensino superior (%)" t="spb"/>
    <k n="População: participação de rendimento dos 10% mais ricos" t="spb"/>
    <k n="População: participação de rendimento dos 20% mais ricos" t="spb"/>
    <k n="População: participação de rendimento dos 10% mais pobres" t="spb"/>
    <k n="População: participação de rendimento dos 20% mais pobres" t="spb"/>
    <k n="População: participação de rendimento dos 20% em quarto lugar" t="spb"/>
    <k n="População: participação de rendimento dos 20% em segundo lugar" t="spb"/>
    <k n="População: participação de rendimento dos 20% em terceiro lugar" t="spb"/>
  </s>
  <s>
    <k n="IPC" t="s"/>
    <k n="PIB" t="s"/>
    <k n="Nome" t="s"/>
    <k n="Área" t="s"/>
    <k n="Imagem" t="s"/>
    <k n="Descrição" t="s"/>
    <k n="População" t="s"/>
    <k n="Abreviação" t="s"/>
    <k n="UniqueName" t="s"/>
    <k n="VDPID/VSID" t="s"/>
    <k n="Maior cidade" t="s"/>
    <k n="Nome oficial" t="s"/>
    <k n="Hino nacional" t="s"/>
    <k n="Alterar IPC (%)" t="s"/>
    <k n="Código da moeda" t="s"/>
    <k n="LearnMoreOnLink" t="s"/>
    <k n="População urbana" t="s"/>
    <k n="Código de chamada" t="s"/>
    <k n="Preço da gasolina" t="s"/>
    <k n="Receita fiscal (%)" t="s"/>
    <k n="Taxa de desemprego" t="s"/>
    <k n="Taxa de natalidade" t="s"/>
    <k n="Área florestal (%)" t="s"/>
    <k n="Expectativa de vida" t="s"/>
    <k n="Taxa de fertilidade" t="s"/>
    <k n="Capital/Maior Cidade" t="s"/>
    <k n="Mortalidade infantil" t="s"/>
    <k n="Terras agrícolas (%)" t="s"/>
    <k n="Médicos para cada mil" t="s"/>
    <k n="Taxa de imposto total" t="s"/>
    <k n="Tamanho das forças armadas" t="s"/>
    <k n="Consumo de energia elétrica" t="s"/>
    <k n="Taxa de mortalidade materna" t="s"/>
    <k n="Emissões de dióxido de carbono" t="s"/>
    <k n="Despesas pessoais com saúde (%)" t="s"/>
    <k n="Consumo de energia de combustível fóssil" t="s"/>
    <k n="Capitalização de mercado das empresas listadas" t="s"/>
    <k n="População: participação da força de trabalho (%)" t="s"/>
    <k n="Quantidade bruta de inscrições do ensino primário (%)" t="s"/>
    <k n="Quantidade bruta de inscrições do ensino superior (%)" t="s"/>
    <k n="População: participação de rendimento dos 10% mais ricos" t="s"/>
    <k n="População: participação de rendimento dos 20% mais ricos" t="s"/>
    <k n="População: participação de rendimento dos 10% mais pobres" t="s"/>
    <k n="População: participação de rendimento dos 20% mais pobres" t="s"/>
    <k n="População: participação de rendimento dos 20% em quarto lugar" t="s"/>
    <k n="População: participação de rendimento dos 20% em segundo lugar" t="s"/>
    <k n="População: participação de rendimento dos 20% em terceiro lugar" t="s"/>
  </s>
  <s>
    <k n="Nome" t="spb"/>
    <k n="`Área" t="spb"/>
    <k n="Descrição" t="spb"/>
    <k n="População" t="spb"/>
    <k n="Abreviação" t="spb"/>
    <k n="UniqueName" t="spb"/>
    <k n="País/região" t="spb"/>
    <k n="Maior cidade" t="spb"/>
    <k n="Agregados familiares" t="spb"/>
    <k n="Capital/Maior Cidade" t="spb"/>
    <k n="Unidades habitacionais" t="spb"/>
    <k n="Pessoas por agregado familiar" t="spb"/>
  </s>
  <s>
    <k n="Nome" t="s"/>
    <k n="Área" t="s"/>
    <k n="Imagem" t="s"/>
    <k n="Descrição" t="s"/>
    <k n="População" t="s"/>
    <k n="Abreviação" t="s"/>
    <k n="UniqueName" t="s"/>
    <k n="VDPID/VSID" t="s"/>
    <k n="País/região" t="s"/>
    <k n="Maior cidade" t="s"/>
    <k n="LearnMoreOnLink" t="s"/>
    <k n="Agregados familiares" t="s"/>
    <k n="Capital/Maior Cidade" t="s"/>
    <k n="Unidades habitacionais" t="s"/>
    <k n="Pessoas por agregado familiar" t="s"/>
  </s>
  <s>
    <k n="`Área" t="s"/>
    <k n="População" t="s"/>
    <k n="Agregados familiares" t="s"/>
    <k n="Unidades habitacionais" t="s"/>
    <k n="Pessoas por agregado familiar"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1">
      <rpv i="2">_([$$-en-US]* #,##0_);_([$$-en-US]* (#,##0);_([$$-en-US]* "-"_);_(@_)</rpv>
    </rSty>
    <rSty dxfid="5">
      <rpv i="2">0</rpv>
    </rSty>
    <rSty dxfid="1">
      <rpv i="2">0.0</rpv>
    </rSty>
    <rSty dxfid="4">
      <rpv i="2">#,##0.00</rpv>
    </rSty>
    <rSty dxfid="2">
      <rpv i="2">0.00</rpv>
    </rSty>
    <rSty dxfid="1">
      <rpv i="2">_([$$-en-US]* #,##0.00_);_([$$-en-US]* (#,##0.00);_([$$-en-US]* "-"??_);_(@_)</rpv>
    </rSty>
    <rSty dxfid="3"/>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2B2B-999A-4EF0-A23B-C359FCD0F3C4}">
  <dimension ref="A1:M11"/>
  <sheetViews>
    <sheetView tabSelected="1" workbookViewId="0">
      <selection activeCell="B14" sqref="B14"/>
    </sheetView>
  </sheetViews>
  <sheetFormatPr defaultRowHeight="14.4" x14ac:dyDescent="0.3"/>
  <cols>
    <col min="1" max="1" width="12.109375" customWidth="1"/>
    <col min="2" max="2" width="16.5546875" customWidth="1"/>
    <col min="3" max="3" width="9.77734375" customWidth="1"/>
    <col min="4" max="4" width="28.77734375" customWidth="1"/>
    <col min="5" max="5" width="10.5546875" bestFit="1" customWidth="1"/>
    <col min="6" max="6" width="13.21875" customWidth="1"/>
    <col min="7" max="7" width="11.5546875" customWidth="1"/>
    <col min="8" max="8" width="10.33203125" bestFit="1" customWidth="1"/>
    <col min="10" max="11" width="12.109375" customWidth="1"/>
    <col min="12" max="12" width="12.88671875" bestFit="1" customWidth="1"/>
  </cols>
  <sheetData>
    <row r="1" spans="1:13" x14ac:dyDescent="0.3">
      <c r="A1" s="11" t="s">
        <v>0</v>
      </c>
      <c r="B1" s="12"/>
      <c r="C1" s="12"/>
      <c r="D1" s="12"/>
      <c r="E1" s="12"/>
      <c r="F1" s="12"/>
      <c r="G1" s="12"/>
      <c r="H1" s="12"/>
      <c r="I1" s="12"/>
      <c r="J1" s="12"/>
      <c r="K1" s="12"/>
      <c r="L1" s="13"/>
    </row>
    <row r="2" spans="1:13" ht="33.6" customHeight="1" x14ac:dyDescent="0.3">
      <c r="A2" s="10" t="s">
        <v>41</v>
      </c>
      <c r="B2" s="3" t="s">
        <v>1</v>
      </c>
      <c r="C2" s="3"/>
      <c r="D2" s="4" t="s">
        <v>2</v>
      </c>
      <c r="E2" s="4" t="s">
        <v>10</v>
      </c>
      <c r="F2" s="4" t="s">
        <v>3</v>
      </c>
      <c r="G2" s="4" t="s">
        <v>4</v>
      </c>
      <c r="H2" s="4" t="s">
        <v>9</v>
      </c>
      <c r="I2" s="4" t="s">
        <v>5</v>
      </c>
      <c r="J2" s="4" t="s">
        <v>6</v>
      </c>
      <c r="K2" s="4" t="s">
        <v>7</v>
      </c>
      <c r="L2" s="4" t="s">
        <v>8</v>
      </c>
    </row>
    <row r="3" spans="1:13" x14ac:dyDescent="0.3">
      <c r="A3" s="6" t="e" vm="1">
        <v>#VALUE!</v>
      </c>
      <c r="B3" s="5" t="s">
        <v>11</v>
      </c>
      <c r="C3" s="5" t="s">
        <v>28</v>
      </c>
      <c r="D3" s="6" t="str">
        <f>_xlfn.CONCAT(B3&amp;"."&amp;C3&amp;"@sesihotel.com")</f>
        <v>Neymar.Jr@sesihotel.com</v>
      </c>
      <c r="E3" s="7">
        <v>46184</v>
      </c>
      <c r="F3" s="7">
        <v>46222</v>
      </c>
      <c r="G3" s="6" t="s">
        <v>36</v>
      </c>
      <c r="H3" s="8">
        <f>VLOOKUP(G3,Configurações!$A$3:$B$7,2,FALSE)</f>
        <v>500</v>
      </c>
      <c r="I3" s="6">
        <f>F3-E3</f>
        <v>38</v>
      </c>
      <c r="J3" s="6" t="s">
        <v>37</v>
      </c>
      <c r="K3" s="8">
        <f>VLOOKUP(J3,Configurações!$D$3:$E$6,2,FALSE)</f>
        <v>100</v>
      </c>
      <c r="L3" s="9">
        <f>H3*I3+K3*I3</f>
        <v>22800</v>
      </c>
      <c r="M3" t="e" cm="1" vm="2">
        <f t="array" aca="1" ref="M3" ca="1">_FV(A3,"Imagem")</f>
        <v>#VALUE!</v>
      </c>
    </row>
    <row r="4" spans="1:13" x14ac:dyDescent="0.3">
      <c r="A4" s="6" t="e" vm="3">
        <v>#VALUE!</v>
      </c>
      <c r="B4" s="5" t="s">
        <v>12</v>
      </c>
      <c r="C4" s="5" t="s">
        <v>13</v>
      </c>
      <c r="D4" s="6" t="str">
        <f t="shared" ref="D4:D11" si="0">_xlfn.CONCAT(B4&amp;"."&amp;C4&amp;"@sesihotel.com")</f>
        <v>Lionel.Messi@sesihotel.com</v>
      </c>
      <c r="E4" s="7">
        <v>46184</v>
      </c>
      <c r="F4" s="7">
        <v>46204</v>
      </c>
      <c r="G4" s="6" t="s">
        <v>32</v>
      </c>
      <c r="H4" s="8">
        <f>VLOOKUP(G4,Configurações!$A$3:$B$7,2,FALSE)</f>
        <v>120</v>
      </c>
      <c r="I4" s="6">
        <f t="shared" ref="I4:I11" si="1">F4-E4</f>
        <v>20</v>
      </c>
      <c r="J4" s="6" t="s">
        <v>38</v>
      </c>
      <c r="K4" s="8">
        <f>VLOOKUP(J4,Configurações!$D$3:$E$6,2,FALSE)</f>
        <v>150</v>
      </c>
      <c r="L4" s="9">
        <f t="shared" ref="L4:L11" si="2">H4*I4+K4*I4</f>
        <v>5400</v>
      </c>
      <c r="M4" t="e" cm="1" vm="4">
        <f t="array" aca="1" ref="M4" ca="1">_FV(A4,"Imagem")</f>
        <v>#VALUE!</v>
      </c>
    </row>
    <row r="5" spans="1:13" x14ac:dyDescent="0.3">
      <c r="A5" s="6" t="e" vm="5">
        <v>#VALUE!</v>
      </c>
      <c r="B5" s="5" t="s">
        <v>14</v>
      </c>
      <c r="C5" s="5" t="s">
        <v>15</v>
      </c>
      <c r="D5" s="6" t="str">
        <f t="shared" si="0"/>
        <v>Cristiano.Ronaldo@sesihotel.com</v>
      </c>
      <c r="E5" s="7">
        <v>46184</v>
      </c>
      <c r="F5" s="7">
        <v>46222</v>
      </c>
      <c r="G5" s="6" t="s">
        <v>35</v>
      </c>
      <c r="H5" s="8">
        <f>VLOOKUP(G5,Configurações!$A$3:$B$7,2,FALSE)</f>
        <v>350</v>
      </c>
      <c r="I5" s="6">
        <f t="shared" si="1"/>
        <v>38</v>
      </c>
      <c r="J5" s="6" t="s">
        <v>40</v>
      </c>
      <c r="K5" s="8">
        <f>VLOOKUP(J5,Configurações!$D$3:$E$6,2,FALSE)</f>
        <v>0</v>
      </c>
      <c r="L5" s="9">
        <f t="shared" si="2"/>
        <v>13300</v>
      </c>
      <c r="M5" t="e" cm="1" vm="6">
        <f t="array" aca="1" ref="M5" ca="1">_FV(A5,"Imagem")</f>
        <v>#VALUE!</v>
      </c>
    </row>
    <row r="6" spans="1:13" x14ac:dyDescent="0.3">
      <c r="A6" s="6" t="e" vm="7">
        <v>#VALUE!</v>
      </c>
      <c r="B6" s="5" t="s">
        <v>16</v>
      </c>
      <c r="C6" s="5" t="s">
        <v>17</v>
      </c>
      <c r="D6" s="6" t="str">
        <f t="shared" si="0"/>
        <v>Alexander.Diku@sesihotel.com</v>
      </c>
      <c r="E6" s="7">
        <v>46184</v>
      </c>
      <c r="F6" s="7">
        <v>46201</v>
      </c>
      <c r="G6" s="6" t="s">
        <v>33</v>
      </c>
      <c r="H6" s="8">
        <f>VLOOKUP(G6,Configurações!$A$3:$B$7,2,FALSE)</f>
        <v>200</v>
      </c>
      <c r="I6" s="6">
        <f t="shared" si="1"/>
        <v>17</v>
      </c>
      <c r="J6" s="6" t="s">
        <v>39</v>
      </c>
      <c r="K6" s="8">
        <f>VLOOKUP(J6,Configurações!$D$3:$E$6,2,FALSE)</f>
        <v>85</v>
      </c>
      <c r="L6" s="9">
        <f t="shared" si="2"/>
        <v>4845</v>
      </c>
      <c r="M6" t="e" cm="1" vm="8">
        <f t="array" aca="1" ref="M6" ca="1">_FV(A6,"Imagem")</f>
        <v>#VALUE!</v>
      </c>
    </row>
    <row r="7" spans="1:13" x14ac:dyDescent="0.3">
      <c r="A7" s="6" t="e" vm="9">
        <v>#VALUE!</v>
      </c>
      <c r="B7" s="5" t="s">
        <v>18</v>
      </c>
      <c r="C7" s="5" t="s">
        <v>19</v>
      </c>
      <c r="D7" s="6" t="str">
        <f t="shared" si="0"/>
        <v>Killyam.Mbappe@sesihotel.com</v>
      </c>
      <c r="E7" s="7">
        <v>46184</v>
      </c>
      <c r="F7" s="7">
        <v>46211</v>
      </c>
      <c r="G7" s="6" t="s">
        <v>32</v>
      </c>
      <c r="H7" s="8">
        <f>VLOOKUP(G7,Configurações!$A$3:$B$7,2,FALSE)</f>
        <v>120</v>
      </c>
      <c r="I7" s="6">
        <f t="shared" si="1"/>
        <v>27</v>
      </c>
      <c r="J7" s="6" t="s">
        <v>38</v>
      </c>
      <c r="K7" s="8">
        <f>VLOOKUP(J7,Configurações!$D$3:$E$6,2,FALSE)</f>
        <v>150</v>
      </c>
      <c r="L7" s="9">
        <f t="shared" si="2"/>
        <v>7290</v>
      </c>
      <c r="M7" t="e" cm="1" vm="10">
        <f t="array" aca="1" ref="M7" ca="1">_FV(A7,"Imagem")</f>
        <v>#VALUE!</v>
      </c>
    </row>
    <row r="8" spans="1:13" x14ac:dyDescent="0.3">
      <c r="A8" s="6" t="e" vm="11">
        <v>#VALUE!</v>
      </c>
      <c r="B8" s="5" t="s">
        <v>20</v>
      </c>
      <c r="C8" s="5" t="s">
        <v>21</v>
      </c>
      <c r="D8" s="6" t="str">
        <f t="shared" si="0"/>
        <v>Erling.Halland@sesihotel.com</v>
      </c>
      <c r="E8" s="7">
        <v>46184</v>
      </c>
      <c r="F8" s="7">
        <v>46216</v>
      </c>
      <c r="G8" s="6" t="s">
        <v>34</v>
      </c>
      <c r="H8" s="8">
        <f>VLOOKUP(G8,Configurações!$A$3:$B$7,2,FALSE)</f>
        <v>250</v>
      </c>
      <c r="I8" s="6">
        <f t="shared" si="1"/>
        <v>32</v>
      </c>
      <c r="J8" s="6" t="s">
        <v>37</v>
      </c>
      <c r="K8" s="8">
        <f>VLOOKUP(J8,Configurações!$D$3:$E$6,2,FALSE)</f>
        <v>100</v>
      </c>
      <c r="L8" s="9">
        <f t="shared" si="2"/>
        <v>11200</v>
      </c>
      <c r="M8" t="e" cm="1" vm="12">
        <f t="array" aca="1" ref="M8" ca="1">_FV(A8,"Imagem")</f>
        <v>#VALUE!</v>
      </c>
    </row>
    <row r="9" spans="1:13" x14ac:dyDescent="0.3">
      <c r="A9" s="6" t="e" vm="13">
        <v>#VALUE!</v>
      </c>
      <c r="B9" s="5" t="s">
        <v>22</v>
      </c>
      <c r="C9" s="5" t="s">
        <v>23</v>
      </c>
      <c r="D9" s="6" t="str">
        <f t="shared" si="0"/>
        <v>Lamine.Yammal@sesihotel.com</v>
      </c>
      <c r="E9" s="7">
        <v>46184</v>
      </c>
      <c r="F9" s="7">
        <v>46198</v>
      </c>
      <c r="G9" s="6" t="s">
        <v>32</v>
      </c>
      <c r="H9" s="8">
        <f>VLOOKUP(G9,Configurações!$A$3:$B$7,2,FALSE)</f>
        <v>120</v>
      </c>
      <c r="I9" s="6">
        <f t="shared" si="1"/>
        <v>14</v>
      </c>
      <c r="J9" s="6" t="s">
        <v>40</v>
      </c>
      <c r="K9" s="8">
        <f>VLOOKUP(J9,Configurações!$D$3:$E$6,2,FALSE)</f>
        <v>0</v>
      </c>
      <c r="L9" s="9">
        <f t="shared" si="2"/>
        <v>1680</v>
      </c>
      <c r="M9" t="e" cm="1" vm="14">
        <f t="array" aca="1" ref="M9" ca="1">_FV(A9,"Imagem")</f>
        <v>#VALUE!</v>
      </c>
    </row>
    <row r="10" spans="1:13" x14ac:dyDescent="0.3">
      <c r="A10" s="6" t="e" vm="15">
        <v>#VALUE!</v>
      </c>
      <c r="B10" s="5" t="s">
        <v>24</v>
      </c>
      <c r="C10" s="5" t="s">
        <v>25</v>
      </c>
      <c r="D10" s="6" t="str">
        <f t="shared" si="0"/>
        <v>Guilhermo.Ochoa@sesihotel.com</v>
      </c>
      <c r="E10" s="7">
        <v>46184</v>
      </c>
      <c r="F10" s="7">
        <v>46215</v>
      </c>
      <c r="G10" s="6" t="s">
        <v>36</v>
      </c>
      <c r="H10" s="8">
        <f>VLOOKUP(G10,Configurações!$A$3:$B$7,2,FALSE)</f>
        <v>500</v>
      </c>
      <c r="I10" s="6">
        <f t="shared" si="1"/>
        <v>31</v>
      </c>
      <c r="J10" s="6" t="s">
        <v>37</v>
      </c>
      <c r="K10" s="8">
        <f>VLOOKUP(J10,Configurações!$D$3:$E$6,2,FALSE)</f>
        <v>100</v>
      </c>
      <c r="L10" s="9">
        <f t="shared" si="2"/>
        <v>18600</v>
      </c>
      <c r="M10" t="e" cm="1" vm="16">
        <f t="array" aca="1" ref="M10" ca="1">_FV(A10,"Imagem")</f>
        <v>#VALUE!</v>
      </c>
    </row>
    <row r="11" spans="1:13" x14ac:dyDescent="0.3">
      <c r="A11" s="6" t="e" vm="17">
        <v>#VALUE!</v>
      </c>
      <c r="B11" s="5" t="s">
        <v>26</v>
      </c>
      <c r="C11" s="5" t="s">
        <v>27</v>
      </c>
      <c r="D11" s="6" t="str">
        <f t="shared" si="0"/>
        <v>Jude.Bellingham@sesihotel.com</v>
      </c>
      <c r="E11" s="7">
        <v>46184</v>
      </c>
      <c r="F11" s="7">
        <v>46208</v>
      </c>
      <c r="G11" s="6" t="s">
        <v>34</v>
      </c>
      <c r="H11" s="8">
        <f>VLOOKUP(G11,Configurações!$A$3:$B$7,2,FALSE)</f>
        <v>250</v>
      </c>
      <c r="I11" s="6">
        <f t="shared" si="1"/>
        <v>24</v>
      </c>
      <c r="J11" s="6" t="s">
        <v>39</v>
      </c>
      <c r="K11" s="8">
        <f>VLOOKUP(J11,Configurações!$D$3:$E$6,2,FALSE)</f>
        <v>85</v>
      </c>
      <c r="L11" s="9">
        <f t="shared" si="2"/>
        <v>8040</v>
      </c>
      <c r="M11" t="e" cm="1" vm="18">
        <f t="array" aca="1" ref="M11" ca="1">_FV(A11,"Imagem")</f>
        <v>#VALUE!</v>
      </c>
    </row>
  </sheetData>
  <mergeCells count="2">
    <mergeCell ref="B2:C2"/>
    <mergeCell ref="A1:L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2148-FA98-435F-A948-CCC0C290BB7B}">
  <dimension ref="A1:E7"/>
  <sheetViews>
    <sheetView workbookViewId="0">
      <selection activeCell="E6" sqref="E6"/>
    </sheetView>
  </sheetViews>
  <sheetFormatPr defaultRowHeight="14.4" x14ac:dyDescent="0.3"/>
  <cols>
    <col min="1" max="1" width="10.5546875" customWidth="1"/>
    <col min="2" max="2" width="11" customWidth="1"/>
    <col min="5" max="5" width="10.33203125" bestFit="1" customWidth="1"/>
  </cols>
  <sheetData>
    <row r="1" spans="1:5" x14ac:dyDescent="0.3">
      <c r="A1" s="1" t="s">
        <v>29</v>
      </c>
      <c r="B1" s="1"/>
      <c r="D1" s="1" t="s">
        <v>6</v>
      </c>
      <c r="E1" s="1"/>
    </row>
    <row r="2" spans="1:5" x14ac:dyDescent="0.3">
      <c r="A2" t="s">
        <v>30</v>
      </c>
      <c r="B2" t="s">
        <v>31</v>
      </c>
      <c r="D2" t="s">
        <v>30</v>
      </c>
      <c r="E2" t="s">
        <v>31</v>
      </c>
    </row>
    <row r="3" spans="1:5" x14ac:dyDescent="0.3">
      <c r="A3" t="s">
        <v>32</v>
      </c>
      <c r="B3" s="2">
        <v>120</v>
      </c>
      <c r="D3" t="s">
        <v>37</v>
      </c>
      <c r="E3" s="2">
        <v>100</v>
      </c>
    </row>
    <row r="4" spans="1:5" x14ac:dyDescent="0.3">
      <c r="A4" t="s">
        <v>33</v>
      </c>
      <c r="B4" s="2">
        <v>200</v>
      </c>
      <c r="D4" t="s">
        <v>38</v>
      </c>
      <c r="E4" s="2">
        <v>150</v>
      </c>
    </row>
    <row r="5" spans="1:5" x14ac:dyDescent="0.3">
      <c r="A5" t="s">
        <v>34</v>
      </c>
      <c r="B5" s="2">
        <v>250</v>
      </c>
      <c r="D5" t="s">
        <v>39</v>
      </c>
      <c r="E5" s="2">
        <v>85</v>
      </c>
    </row>
    <row r="6" spans="1:5" x14ac:dyDescent="0.3">
      <c r="A6" t="s">
        <v>35</v>
      </c>
      <c r="B6" s="2">
        <v>350</v>
      </c>
      <c r="D6" t="s">
        <v>40</v>
      </c>
      <c r="E6" s="2">
        <v>0</v>
      </c>
    </row>
    <row r="7" spans="1:5" x14ac:dyDescent="0.3">
      <c r="A7" t="s">
        <v>36</v>
      </c>
      <c r="B7" s="2">
        <v>500</v>
      </c>
    </row>
  </sheetData>
  <mergeCells count="2">
    <mergeCell ref="A1:B1"/>
    <mergeCell ref="D1:E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Configurações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ENRICO BARICHELLO</dc:creator>
  <cp:lastModifiedBy>GUILHERME ENRICO BARICHELLO</cp:lastModifiedBy>
  <dcterms:created xsi:type="dcterms:W3CDTF">2026-05-28T11:09:31Z</dcterms:created>
  <dcterms:modified xsi:type="dcterms:W3CDTF">2026-05-28T12:52:40Z</dcterms:modified>
</cp:coreProperties>
</file>