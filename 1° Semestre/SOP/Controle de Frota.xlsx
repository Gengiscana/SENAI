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 Barichello\Desktop\SENAI\SOP\"/>
    </mc:Choice>
  </mc:AlternateContent>
  <xr:revisionPtr revIDLastSave="0" documentId="13_ncr:1_{4051ECB1-66DA-4B51-9578-932E7A424099}" xr6:coauthVersionLast="47" xr6:coauthVersionMax="47" xr10:uidLastSave="{00000000-0000-0000-0000-000000000000}"/>
  <bookViews>
    <workbookView xWindow="-108" yWindow="-108" windowWidth="23256" windowHeight="12456" xr2:uid="{F4738EC6-C9CC-41A7-B31F-E9DCDC1750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7" i="1" l="1"/>
  <c r="P7" i="1"/>
  <c r="O7" i="1"/>
  <c r="O14" i="1"/>
  <c r="O13" i="1"/>
  <c r="O12" i="1"/>
  <c r="O11" i="1"/>
</calcChain>
</file>

<file path=xl/sharedStrings.xml><?xml version="1.0" encoding="utf-8"?>
<sst xmlns="http://schemas.openxmlformats.org/spreadsheetml/2006/main" count="38" uniqueCount="31">
  <si>
    <t>Controle de Frota</t>
  </si>
  <si>
    <t>DATA</t>
  </si>
  <si>
    <t>PLACA</t>
  </si>
  <si>
    <t>VEÍCULO</t>
  </si>
  <si>
    <t>VALOR</t>
  </si>
  <si>
    <t>Procurar</t>
  </si>
  <si>
    <t>GXJ-946X</t>
  </si>
  <si>
    <t>AOM-174X</t>
  </si>
  <si>
    <t>IXD-701X</t>
  </si>
  <si>
    <t>QKD-746X</t>
  </si>
  <si>
    <t>SRL-493X</t>
  </si>
  <si>
    <t>SJE-473X</t>
  </si>
  <si>
    <t>JMG-919X</t>
  </si>
  <si>
    <t>VJD-868X</t>
  </si>
  <si>
    <t>NKX-725X</t>
  </si>
  <si>
    <t>SRH-215X</t>
  </si>
  <si>
    <t>FYP-324X</t>
  </si>
  <si>
    <t>CDC-411X</t>
  </si>
  <si>
    <t>Volvo FH 540</t>
  </si>
  <si>
    <t>Scania R 450</t>
  </si>
  <si>
    <t xml:space="preserve"> Volvo FH 460</t>
  </si>
  <si>
    <t>DAF XF 105 510</t>
  </si>
  <si>
    <t>Scania R 500</t>
  </si>
  <si>
    <t>Mercedes-Benz Actros 2651</t>
  </si>
  <si>
    <t>Mercedes-Benz Actros 2546</t>
  </si>
  <si>
    <t>Mercedes-Benz Actros 2544</t>
  </si>
  <si>
    <t>Volvo FH 460</t>
  </si>
  <si>
    <t>Quantidade de veículos</t>
  </si>
  <si>
    <t>Valor Total</t>
  </si>
  <si>
    <t>Valor Maior</t>
  </si>
  <si>
    <t>Valor 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</si>
</sst>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1" xfId="0" applyNumberForma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4893-6A4E-46F0-AF56-CB5DD3AB1E24}">
  <dimension ref="A1:Q15"/>
  <sheetViews>
    <sheetView tabSelected="1" workbookViewId="0">
      <selection activeCell="O12" sqref="O12:P12"/>
    </sheetView>
  </sheetViews>
  <sheetFormatPr defaultRowHeight="14.4" x14ac:dyDescent="0.3"/>
  <cols>
    <col min="15" max="15" width="15.109375" customWidth="1"/>
    <col min="16" max="16" width="25.44140625" customWidth="1"/>
    <col min="17" max="17" width="15.44140625" customWidth="1"/>
  </cols>
  <sheetData>
    <row r="1" spans="1:17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17" x14ac:dyDescent="0.3">
      <c r="A2" s="11"/>
      <c r="B2" s="11"/>
      <c r="C2" s="11"/>
      <c r="D2" s="11"/>
      <c r="E2" s="11"/>
      <c r="F2" s="11"/>
      <c r="G2" s="11"/>
      <c r="H2" s="11"/>
      <c r="I2" s="11"/>
    </row>
    <row r="3" spans="1:17" x14ac:dyDescent="0.3">
      <c r="A3" s="3" t="s">
        <v>1</v>
      </c>
      <c r="B3" s="3"/>
      <c r="C3" s="3" t="s">
        <v>2</v>
      </c>
      <c r="D3" s="3"/>
      <c r="E3" s="3" t="s">
        <v>3</v>
      </c>
      <c r="F3" s="3"/>
      <c r="G3" s="3"/>
      <c r="H3" s="3" t="s">
        <v>4</v>
      </c>
      <c r="I3" s="3"/>
    </row>
    <row r="4" spans="1:17" x14ac:dyDescent="0.3">
      <c r="A4" s="6">
        <v>43871</v>
      </c>
      <c r="B4" s="4"/>
      <c r="C4" s="4" t="s">
        <v>6</v>
      </c>
      <c r="D4" s="4"/>
      <c r="E4" s="4" t="s">
        <v>18</v>
      </c>
      <c r="F4" s="4"/>
      <c r="G4" s="4"/>
      <c r="H4" s="10">
        <v>75054</v>
      </c>
      <c r="I4" s="10"/>
    </row>
    <row r="5" spans="1:17" x14ac:dyDescent="0.3">
      <c r="A5" s="6">
        <v>43872</v>
      </c>
      <c r="B5" s="4"/>
      <c r="C5" s="4" t="s">
        <v>7</v>
      </c>
      <c r="D5" s="4"/>
      <c r="E5" s="4" t="s">
        <v>19</v>
      </c>
      <c r="F5" s="4"/>
      <c r="G5" s="4"/>
      <c r="H5" s="10">
        <v>35237</v>
      </c>
      <c r="I5" s="10"/>
      <c r="L5" s="7" t="s">
        <v>5</v>
      </c>
      <c r="M5" s="8"/>
      <c r="N5" s="8"/>
      <c r="O5" s="8"/>
      <c r="P5" s="8"/>
      <c r="Q5" s="9"/>
    </row>
    <row r="6" spans="1:17" x14ac:dyDescent="0.3">
      <c r="A6" s="6">
        <v>43873</v>
      </c>
      <c r="B6" s="4"/>
      <c r="C6" s="4" t="s">
        <v>8</v>
      </c>
      <c r="D6" s="4"/>
      <c r="E6" s="4" t="s">
        <v>20</v>
      </c>
      <c r="F6" s="4"/>
      <c r="G6" s="4"/>
      <c r="H6" s="10">
        <v>33915</v>
      </c>
      <c r="I6" s="10"/>
      <c r="L6" s="7" t="s">
        <v>1</v>
      </c>
      <c r="M6" s="8"/>
      <c r="N6" s="9"/>
      <c r="O6" s="2" t="s">
        <v>4</v>
      </c>
      <c r="P6" s="2" t="s">
        <v>3</v>
      </c>
      <c r="Q6" s="2" t="s">
        <v>2</v>
      </c>
    </row>
    <row r="7" spans="1:17" x14ac:dyDescent="0.3">
      <c r="A7" s="6">
        <v>43874</v>
      </c>
      <c r="B7" s="4"/>
      <c r="C7" s="4" t="s">
        <v>9</v>
      </c>
      <c r="D7" s="4"/>
      <c r="E7" s="4" t="s">
        <v>23</v>
      </c>
      <c r="F7" s="4"/>
      <c r="G7" s="4"/>
      <c r="H7" s="10">
        <v>50933</v>
      </c>
      <c r="I7" s="10"/>
      <c r="L7" s="6">
        <v>43876</v>
      </c>
      <c r="M7" s="4"/>
      <c r="N7" s="4"/>
      <c r="O7" s="1">
        <f>VLOOKUP($L$7,$A$4:$I$15,8,FALSE)</f>
        <v>32585</v>
      </c>
      <c r="P7" s="12" t="str">
        <f>VLOOKUP($L$7,$A$4:$I$15,5,FALSE)</f>
        <v>Scania R 500</v>
      </c>
      <c r="Q7" s="13" t="str">
        <f>VLOOKUP($L$7,$A$4:$I$15,3,FALSE)</f>
        <v>SJE-473X</v>
      </c>
    </row>
    <row r="8" spans="1:17" x14ac:dyDescent="0.3">
      <c r="A8" s="6">
        <v>43875</v>
      </c>
      <c r="B8" s="4"/>
      <c r="C8" s="4" t="s">
        <v>10</v>
      </c>
      <c r="D8" s="4"/>
      <c r="E8" s="4" t="s">
        <v>21</v>
      </c>
      <c r="F8" s="4"/>
      <c r="G8" s="4"/>
      <c r="H8" s="10">
        <v>73796</v>
      </c>
      <c r="I8" s="10"/>
    </row>
    <row r="9" spans="1:17" x14ac:dyDescent="0.3">
      <c r="A9" s="6">
        <v>43876</v>
      </c>
      <c r="B9" s="4"/>
      <c r="C9" s="4" t="s">
        <v>11</v>
      </c>
      <c r="D9" s="4"/>
      <c r="E9" s="4" t="s">
        <v>22</v>
      </c>
      <c r="F9" s="4"/>
      <c r="G9" s="4"/>
      <c r="H9" s="10">
        <v>32585</v>
      </c>
      <c r="I9" s="10"/>
    </row>
    <row r="10" spans="1:17" x14ac:dyDescent="0.3">
      <c r="A10" s="6">
        <v>43877</v>
      </c>
      <c r="B10" s="4"/>
      <c r="C10" s="4" t="s">
        <v>12</v>
      </c>
      <c r="D10" s="4"/>
      <c r="E10" s="4" t="s">
        <v>24</v>
      </c>
      <c r="F10" s="4"/>
      <c r="G10" s="4"/>
      <c r="H10" s="10">
        <v>36658</v>
      </c>
      <c r="I10" s="10"/>
    </row>
    <row r="11" spans="1:17" x14ac:dyDescent="0.3">
      <c r="A11" s="6">
        <v>43878</v>
      </c>
      <c r="B11" s="4"/>
      <c r="C11" s="4" t="s">
        <v>13</v>
      </c>
      <c r="D11" s="4"/>
      <c r="E11" s="4" t="s">
        <v>25</v>
      </c>
      <c r="F11" s="4"/>
      <c r="G11" s="4"/>
      <c r="H11" s="10">
        <v>72145</v>
      </c>
      <c r="I11" s="10"/>
      <c r="L11" s="3" t="s">
        <v>27</v>
      </c>
      <c r="M11" s="3"/>
      <c r="N11" s="3"/>
      <c r="O11" s="4">
        <f>COUNTA(E4:G15)</f>
        <v>12</v>
      </c>
      <c r="P11" s="4"/>
    </row>
    <row r="12" spans="1:17" x14ac:dyDescent="0.3">
      <c r="A12" s="6">
        <v>43879</v>
      </c>
      <c r="B12" s="4"/>
      <c r="C12" s="4" t="s">
        <v>14</v>
      </c>
      <c r="D12" s="4"/>
      <c r="E12" s="4" t="s">
        <v>18</v>
      </c>
      <c r="F12" s="4"/>
      <c r="G12" s="4"/>
      <c r="H12" s="10">
        <v>66059</v>
      </c>
      <c r="I12" s="10"/>
      <c r="L12" s="3" t="s">
        <v>28</v>
      </c>
      <c r="M12" s="3"/>
      <c r="N12" s="3"/>
      <c r="O12" s="5">
        <f>SUM(H4:I15)</f>
        <v>575733</v>
      </c>
      <c r="P12" s="4"/>
    </row>
    <row r="13" spans="1:17" x14ac:dyDescent="0.3">
      <c r="A13" s="6">
        <v>43880</v>
      </c>
      <c r="B13" s="4"/>
      <c r="C13" s="4" t="s">
        <v>15</v>
      </c>
      <c r="D13" s="4"/>
      <c r="E13" s="4" t="s">
        <v>19</v>
      </c>
      <c r="F13" s="4"/>
      <c r="G13" s="4"/>
      <c r="H13" s="10">
        <v>32408</v>
      </c>
      <c r="I13" s="10"/>
      <c r="L13" s="3" t="s">
        <v>29</v>
      </c>
      <c r="M13" s="3"/>
      <c r="N13" s="3"/>
      <c r="O13" s="5">
        <f>MAX(H4:I15)</f>
        <v>75054</v>
      </c>
      <c r="P13" s="4"/>
    </row>
    <row r="14" spans="1:17" x14ac:dyDescent="0.3">
      <c r="A14" s="6">
        <v>43881</v>
      </c>
      <c r="B14" s="4"/>
      <c r="C14" s="4" t="s">
        <v>16</v>
      </c>
      <c r="D14" s="4"/>
      <c r="E14" s="4" t="s">
        <v>26</v>
      </c>
      <c r="F14" s="4"/>
      <c r="G14" s="4"/>
      <c r="H14" s="10">
        <v>36756</v>
      </c>
      <c r="I14" s="10"/>
      <c r="L14" s="3" t="s">
        <v>30</v>
      </c>
      <c r="M14" s="3"/>
      <c r="N14" s="3"/>
      <c r="O14" s="5">
        <f>MIN(H4:I15)</f>
        <v>30187</v>
      </c>
      <c r="P14" s="4"/>
    </row>
    <row r="15" spans="1:17" x14ac:dyDescent="0.3">
      <c r="A15" s="6">
        <v>43882</v>
      </c>
      <c r="B15" s="4"/>
      <c r="C15" s="4" t="s">
        <v>17</v>
      </c>
      <c r="D15" s="4"/>
      <c r="E15" s="4" t="s">
        <v>23</v>
      </c>
      <c r="F15" s="4"/>
      <c r="G15" s="4"/>
      <c r="H15" s="10">
        <v>30187</v>
      </c>
      <c r="I15" s="10"/>
    </row>
  </sheetData>
  <mergeCells count="64">
    <mergeCell ref="A4:B4"/>
    <mergeCell ref="H4:I4"/>
    <mergeCell ref="A1:I2"/>
    <mergeCell ref="A3:B3"/>
    <mergeCell ref="C3:D3"/>
    <mergeCell ref="E3:G3"/>
    <mergeCell ref="H3:I3"/>
    <mergeCell ref="A11:B11"/>
    <mergeCell ref="A12:B12"/>
    <mergeCell ref="A13:B13"/>
    <mergeCell ref="A14:B14"/>
    <mergeCell ref="C4:D4"/>
    <mergeCell ref="C5:D5"/>
    <mergeCell ref="C6:D6"/>
    <mergeCell ref="C7:D7"/>
    <mergeCell ref="C8:D8"/>
    <mergeCell ref="C9:D9"/>
    <mergeCell ref="A5:B5"/>
    <mergeCell ref="A6:B6"/>
    <mergeCell ref="A7:B7"/>
    <mergeCell ref="A8:B8"/>
    <mergeCell ref="A9:B9"/>
    <mergeCell ref="A10:B10"/>
    <mergeCell ref="E4:G4"/>
    <mergeCell ref="E5:G5"/>
    <mergeCell ref="E6:G6"/>
    <mergeCell ref="E7:G7"/>
    <mergeCell ref="E8:G8"/>
    <mergeCell ref="E11:G11"/>
    <mergeCell ref="E12:G12"/>
    <mergeCell ref="E13:G13"/>
    <mergeCell ref="E14:G14"/>
    <mergeCell ref="C10:D10"/>
    <mergeCell ref="C11:D11"/>
    <mergeCell ref="C12:D12"/>
    <mergeCell ref="C13:D13"/>
    <mergeCell ref="C14:D14"/>
    <mergeCell ref="H8:I8"/>
    <mergeCell ref="H9:I9"/>
    <mergeCell ref="H10:I10"/>
    <mergeCell ref="E9:G9"/>
    <mergeCell ref="E10:G10"/>
    <mergeCell ref="L7:N7"/>
    <mergeCell ref="L6:N6"/>
    <mergeCell ref="L5:Q5"/>
    <mergeCell ref="A15:B15"/>
    <mergeCell ref="C15:D15"/>
    <mergeCell ref="E15:G15"/>
    <mergeCell ref="H15:I15"/>
    <mergeCell ref="L11:N11"/>
    <mergeCell ref="L12:N12"/>
    <mergeCell ref="H11:I11"/>
    <mergeCell ref="H12:I12"/>
    <mergeCell ref="H13:I13"/>
    <mergeCell ref="H14:I14"/>
    <mergeCell ref="H5:I5"/>
    <mergeCell ref="H6:I6"/>
    <mergeCell ref="H7:I7"/>
    <mergeCell ref="L13:N13"/>
    <mergeCell ref="L14:N14"/>
    <mergeCell ref="O11:P11"/>
    <mergeCell ref="O12:P12"/>
    <mergeCell ref="O13:P13"/>
    <mergeCell ref="O14:P1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ENRICO BARICHELLO</dc:creator>
  <cp:lastModifiedBy>GUILHERME ENRICO BARICHELLO</cp:lastModifiedBy>
  <dcterms:created xsi:type="dcterms:W3CDTF">2026-06-16T17:11:24Z</dcterms:created>
  <dcterms:modified xsi:type="dcterms:W3CDTF">2026-06-16T17:44:39Z</dcterms:modified>
</cp:coreProperties>
</file>