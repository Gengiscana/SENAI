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 Barichello\Desktop\SENAI\LER\"/>
    </mc:Choice>
  </mc:AlternateContent>
  <xr:revisionPtr revIDLastSave="0" documentId="8_{C37CBA45-8445-4792-B073-DCAD0326A57B}" xr6:coauthVersionLast="47" xr6:coauthVersionMax="47" xr10:uidLastSave="{00000000-0000-0000-0000-000000000000}"/>
  <bookViews>
    <workbookView xWindow="-108" yWindow="-108" windowWidth="23256" windowHeight="12456" tabRatio="370" xr2:uid="{B55ADDF2-AF82-49F5-87F8-4A22A6D3AABB}"/>
  </bookViews>
  <sheets>
    <sheet name="Planilha1" sheetId="1" r:id="rId1"/>
  </sheets>
  <definedNames>
    <definedName name="a">Planilha1!$YM$25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C5" i="1" a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<sst xmlns="http://schemas.openxmlformats.org/spreadsheetml/2006/main" count="39" uniqueCount="26">
  <si>
    <t>Cronograma do Projeto S.I.N.A</t>
  </si>
  <si>
    <t>Etapas</t>
  </si>
  <si>
    <t>Expectativa de entrega</t>
  </si>
  <si>
    <t>Data de entrega</t>
  </si>
  <si>
    <t>Programar o sistema da S.I.N.A</t>
  </si>
  <si>
    <t>6 a 7 meses</t>
  </si>
  <si>
    <t>-</t>
  </si>
  <si>
    <t>Site</t>
  </si>
  <si>
    <t>Tela de Cadastro</t>
  </si>
  <si>
    <t>Tela de Login</t>
  </si>
  <si>
    <t>2 dias</t>
  </si>
  <si>
    <t>Tela de desempenho</t>
  </si>
  <si>
    <t>Tela de revisões</t>
  </si>
  <si>
    <t>Tela de criação de questões</t>
  </si>
  <si>
    <t>Tela de classificação</t>
  </si>
  <si>
    <t>Tela de informações da classe</t>
  </si>
  <si>
    <t>Tela de diagnóstico</t>
  </si>
  <si>
    <t>7 dias</t>
  </si>
  <si>
    <t>4 dias</t>
  </si>
  <si>
    <t>5 dias</t>
  </si>
  <si>
    <t xml:space="preserve"> 1 dia</t>
  </si>
  <si>
    <t>1 dia</t>
  </si>
  <si>
    <t>Impresão dos Cartões de MDF</t>
  </si>
  <si>
    <t>Tempo de aplicação nas escolas</t>
  </si>
  <si>
    <t>1 a 2 anos</t>
  </si>
  <si>
    <t>Tempo estimado de finalização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</si>
</sst>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31D0-C9AA-4A6A-AF63-170B87EDDC76}">
  <dimension ref="A1:K20"/>
  <sheetViews>
    <sheetView tabSelected="1" workbookViewId="0">
      <selection activeCell="R5" sqref="R5"/>
    </sheetView>
  </sheetViews>
  <sheetFormatPr defaultRowHeight="14.4" x14ac:dyDescent="0.3"/>
  <cols>
    <col min="1" max="1" width="13.6640625" customWidth="1"/>
    <col min="2" max="2" width="12.109375" customWidth="1"/>
    <col min="4" max="4" width="9.21875" customWidth="1"/>
  </cols>
  <sheetData>
    <row r="1" spans="1:11" x14ac:dyDescent="0.3">
      <c r="A1" s="2" t="s">
        <v>0</v>
      </c>
      <c r="B1" s="2"/>
      <c r="C1" s="2"/>
      <c r="D1" s="2"/>
      <c r="E1" s="2"/>
      <c r="F1" s="2"/>
      <c r="G1" s="2"/>
    </row>
    <row r="2" spans="1:11" ht="28.8" customHeight="1" x14ac:dyDescent="0.3">
      <c r="A2" s="1" t="s">
        <v>1</v>
      </c>
      <c r="B2" s="1"/>
      <c r="C2" s="1" t="s">
        <v>2</v>
      </c>
      <c r="D2" s="1"/>
      <c r="E2" s="1"/>
      <c r="F2" s="1" t="s">
        <v>3</v>
      </c>
      <c r="G2" s="1"/>
    </row>
    <row r="3" spans="1:11" x14ac:dyDescent="0.3">
      <c r="A3" s="3" t="s">
        <v>4</v>
      </c>
      <c r="B3" s="3"/>
      <c r="C3" s="4" t="s">
        <v>5</v>
      </c>
      <c r="D3" s="4"/>
      <c r="E3" s="4"/>
      <c r="F3" s="4" t="s">
        <v>6</v>
      </c>
      <c r="G3" s="4"/>
    </row>
    <row r="4" spans="1:11" ht="17.399999999999999" customHeight="1" x14ac:dyDescent="0.3">
      <c r="A4" s="3"/>
      <c r="B4" s="3"/>
      <c r="C4" s="4"/>
      <c r="D4" s="4"/>
      <c r="E4" s="4"/>
      <c r="F4" s="4"/>
      <c r="G4" s="4"/>
      <c r="I4" s="15" t="s">
        <v>25</v>
      </c>
      <c r="J4" s="15"/>
      <c r="K4" s="15"/>
    </row>
    <row r="5" spans="1:11" x14ac:dyDescent="0.3">
      <c r="A5" s="6" t="s">
        <v>7</v>
      </c>
      <c r="B5" s="6"/>
      <c r="C5" s="9" t="str" cm="1">
        <f t="array" ref="C5">INT(MOD(SUMPRODUCT(IFERROR(VALUE(_xlfn.TEXTBEFORE(C6:E16," ")),0)),365)/30)&amp;" mês(es) e "&amp;MOD(MOD(SUMPRODUCT(IFERROR(VALUE(_xlfn.TEXTBEFORE(C6:E16," ")),0)),365),30)&amp;" dia(s)"</f>
        <v>1 mês(es) e 4 dia(s)</v>
      </c>
      <c r="D5" s="9"/>
      <c r="E5" s="9"/>
      <c r="F5" s="5" t="s">
        <v>6</v>
      </c>
      <c r="G5" s="5"/>
      <c r="I5" s="5" t="str">
        <f>_xlfn.LET(
  _xlpm.dias_sina, (VALUE(_xlfn.TEXTBEFORE(C3," a "))+VALUE(_xlfn.TEXTBEFORE(_xlfn.TEXTAFTER(C3," a ")," ")))/2 * 30,
  _xlpm.dias_site, VALUE(_xlfn.TEXTBEFORE(C5," m"))*30 + VALUE(_xlfn.TEXTBEFORE(_xlfn.TEXTAFTER(C5," e ")," ")),
  _xlpm.total, _xlpm.dias_sina + _xlpm.dias_site,
  INT(_xlpm.total/30) &amp; " meses e " &amp; MOD(_xlpm.total,30) &amp; " dias"
)</f>
        <v>7 meses e 19 dias</v>
      </c>
      <c r="J5" s="5"/>
      <c r="K5" s="5"/>
    </row>
    <row r="6" spans="1:11" x14ac:dyDescent="0.3">
      <c r="A6" s="6" t="s">
        <v>8</v>
      </c>
      <c r="B6" s="6"/>
      <c r="C6" s="4" t="s">
        <v>20</v>
      </c>
      <c r="D6" s="4"/>
      <c r="E6" s="4"/>
      <c r="F6" s="5" t="s">
        <v>6</v>
      </c>
      <c r="G6" s="5"/>
    </row>
    <row r="7" spans="1:11" x14ac:dyDescent="0.3">
      <c r="A7" s="6" t="s">
        <v>9</v>
      </c>
      <c r="B7" s="6"/>
      <c r="C7" s="5" t="s">
        <v>21</v>
      </c>
      <c r="D7" s="5"/>
      <c r="E7" s="5"/>
      <c r="F7" s="5" t="s">
        <v>6</v>
      </c>
      <c r="G7" s="5"/>
    </row>
    <row r="8" spans="1:11" x14ac:dyDescent="0.3">
      <c r="A8" s="7" t="s">
        <v>13</v>
      </c>
      <c r="B8" s="7"/>
      <c r="C8" s="4" t="s">
        <v>19</v>
      </c>
      <c r="D8" s="4"/>
      <c r="E8" s="4"/>
      <c r="F8" s="4" t="s">
        <v>6</v>
      </c>
      <c r="G8" s="4"/>
    </row>
    <row r="9" spans="1:11" x14ac:dyDescent="0.3">
      <c r="A9" s="7"/>
      <c r="B9" s="7"/>
      <c r="C9" s="4"/>
      <c r="D9" s="4"/>
      <c r="E9" s="4"/>
      <c r="F9" s="4"/>
      <c r="G9" s="4"/>
    </row>
    <row r="10" spans="1:11" ht="14.4" customHeight="1" x14ac:dyDescent="0.3">
      <c r="A10" s="8" t="s">
        <v>15</v>
      </c>
      <c r="B10" s="8"/>
      <c r="C10" s="4" t="s">
        <v>18</v>
      </c>
      <c r="D10" s="4"/>
      <c r="E10" s="4"/>
      <c r="F10" s="4" t="s">
        <v>6</v>
      </c>
      <c r="G10" s="4"/>
    </row>
    <row r="11" spans="1:11" x14ac:dyDescent="0.3">
      <c r="A11" s="8"/>
      <c r="B11" s="8"/>
      <c r="C11" s="4"/>
      <c r="D11" s="4"/>
      <c r="E11" s="4"/>
      <c r="F11" s="4"/>
      <c r="G11" s="4"/>
    </row>
    <row r="12" spans="1:11" x14ac:dyDescent="0.3">
      <c r="A12" s="13" t="s">
        <v>14</v>
      </c>
      <c r="B12" s="14"/>
      <c r="C12" s="10" t="s">
        <v>17</v>
      </c>
      <c r="D12" s="12"/>
      <c r="E12" s="11"/>
      <c r="F12" s="10" t="s">
        <v>6</v>
      </c>
      <c r="G12" s="11"/>
    </row>
    <row r="13" spans="1:11" x14ac:dyDescent="0.3">
      <c r="A13" s="13" t="s">
        <v>11</v>
      </c>
      <c r="B13" s="14"/>
      <c r="C13" s="10" t="s">
        <v>17</v>
      </c>
      <c r="D13" s="12"/>
      <c r="E13" s="11"/>
      <c r="F13" s="10" t="s">
        <v>6</v>
      </c>
      <c r="G13" s="11"/>
    </row>
    <row r="14" spans="1:11" x14ac:dyDescent="0.3">
      <c r="A14" s="6" t="s">
        <v>12</v>
      </c>
      <c r="B14" s="6"/>
      <c r="C14" s="5" t="s">
        <v>18</v>
      </c>
      <c r="D14" s="5"/>
      <c r="E14" s="5"/>
      <c r="F14" s="5" t="s">
        <v>6</v>
      </c>
      <c r="G14" s="5"/>
    </row>
    <row r="15" spans="1:11" x14ac:dyDescent="0.3">
      <c r="A15" s="13" t="s">
        <v>22</v>
      </c>
      <c r="B15" s="14"/>
      <c r="C15" s="10" t="s">
        <v>10</v>
      </c>
      <c r="D15" s="12"/>
      <c r="E15" s="11"/>
      <c r="F15" s="10" t="s">
        <v>6</v>
      </c>
      <c r="G15" s="11"/>
    </row>
    <row r="16" spans="1:11" x14ac:dyDescent="0.3">
      <c r="A16" s="6" t="s">
        <v>16</v>
      </c>
      <c r="B16" s="6"/>
      <c r="C16" s="5" t="s">
        <v>18</v>
      </c>
      <c r="D16" s="5"/>
      <c r="E16" s="5"/>
      <c r="F16" s="5" t="s">
        <v>6</v>
      </c>
      <c r="G16" s="5"/>
    </row>
    <row r="19" spans="1:5" x14ac:dyDescent="0.3">
      <c r="A19" s="16" t="s">
        <v>23</v>
      </c>
      <c r="B19" s="16"/>
      <c r="C19" s="4" t="s">
        <v>24</v>
      </c>
      <c r="D19" s="4"/>
      <c r="E19" s="4"/>
    </row>
    <row r="20" spans="1:5" x14ac:dyDescent="0.3">
      <c r="A20" s="16"/>
      <c r="B20" s="16"/>
      <c r="C20" s="4"/>
      <c r="D20" s="4"/>
      <c r="E20" s="4"/>
    </row>
  </sheetData>
  <mergeCells count="41">
    <mergeCell ref="A19:B20"/>
    <mergeCell ref="C19:E20"/>
    <mergeCell ref="I4:K4"/>
    <mergeCell ref="I5:K5"/>
    <mergeCell ref="C15:E15"/>
    <mergeCell ref="F15:G15"/>
    <mergeCell ref="A16:B16"/>
    <mergeCell ref="C16:E16"/>
    <mergeCell ref="F16:G16"/>
    <mergeCell ref="A10:B11"/>
    <mergeCell ref="A12:B12"/>
    <mergeCell ref="C10:E11"/>
    <mergeCell ref="F10:G11"/>
    <mergeCell ref="C12:E12"/>
    <mergeCell ref="F12:G12"/>
    <mergeCell ref="A13:B13"/>
    <mergeCell ref="C13:E13"/>
    <mergeCell ref="A14:B14"/>
    <mergeCell ref="F13:G13"/>
    <mergeCell ref="C14:E14"/>
    <mergeCell ref="F14:G14"/>
    <mergeCell ref="A8:B9"/>
    <mergeCell ref="C8:E9"/>
    <mergeCell ref="F8:G9"/>
    <mergeCell ref="A15:B15"/>
    <mergeCell ref="A1:G1"/>
    <mergeCell ref="C2:E2"/>
    <mergeCell ref="F2:G2"/>
    <mergeCell ref="C7:E7"/>
    <mergeCell ref="F6:G6"/>
    <mergeCell ref="F7:G7"/>
    <mergeCell ref="F3:G4"/>
    <mergeCell ref="A5:B5"/>
    <mergeCell ref="C5:E5"/>
    <mergeCell ref="F5:G5"/>
    <mergeCell ref="A2:B2"/>
    <mergeCell ref="A6:B6"/>
    <mergeCell ref="C6:E6"/>
    <mergeCell ref="A7:B7"/>
    <mergeCell ref="A3:B4"/>
    <mergeCell ref="C3:E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AD768093879E41B22462A8FB836BC5" ma:contentTypeVersion="17" ma:contentTypeDescription="Crie um novo documento." ma:contentTypeScope="" ma:versionID="121099148b24e53609ef5d8914366993">
  <xsd:schema xmlns:xsd="http://www.w3.org/2001/XMLSchema" xmlns:xs="http://www.w3.org/2001/XMLSchema" xmlns:p="http://schemas.microsoft.com/office/2006/metadata/properties" xmlns:ns3="972392a2-82db-4e39-bfba-ba15fbce0a7f" xmlns:ns4="ddb830ba-543f-4072-8390-349b6e10c561" targetNamespace="http://schemas.microsoft.com/office/2006/metadata/properties" ma:root="true" ma:fieldsID="60dd69909ea5a0da93a2c6275e29403c" ns3:_="" ns4:_="">
    <xsd:import namespace="972392a2-82db-4e39-bfba-ba15fbce0a7f"/>
    <xsd:import namespace="ddb830ba-543f-4072-8390-349b6e10c5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392a2-82db-4e39-bfba-ba15fbce0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830ba-543f-4072-8390-349b6e10c56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2392a2-82db-4e39-bfba-ba15fbce0a7f" xsi:nil="true"/>
  </documentManagement>
</p:properties>
</file>

<file path=customXml/itemProps1.xml><?xml version="1.0" encoding="utf-8"?>
<ds:datastoreItem xmlns:ds="http://schemas.openxmlformats.org/officeDocument/2006/customXml" ds:itemID="{40EE0F8D-C020-4928-AB29-F738463FEC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77AD4F-AFD3-4A97-A573-8FDC93266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2392a2-82db-4e39-bfba-ba15fbce0a7f"/>
    <ds:schemaRef ds:uri="ddb830ba-543f-4072-8390-349b6e10c5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960F7-7612-4506-9089-EE3C9DC38E58}">
  <ds:schemaRefs>
    <ds:schemaRef ds:uri="ddb830ba-543f-4072-8390-349b6e10c561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972392a2-82db-4e39-bfba-ba15fbce0a7f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MARTINS</dc:creator>
  <cp:lastModifiedBy>GUILHERME ENRICO BARICHELLO</cp:lastModifiedBy>
  <dcterms:created xsi:type="dcterms:W3CDTF">2026-06-02T17:01:15Z</dcterms:created>
  <dcterms:modified xsi:type="dcterms:W3CDTF">2026-06-02T20:05:54Z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0x010100EFAD768093879E41B22462A8FB836BC5</vt:lpwstr>
  </property>
</Properties>
</file>